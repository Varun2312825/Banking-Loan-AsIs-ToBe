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 test cases" sheetId="1" state="visible" r:id="rId3"/>
    <sheet name="Story covera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<sst xmlns="http://schemas.openxmlformats.org/spreadsheetml/2006/main" count="146" uniqueCount="104">
  <si>
    <t xml:space="preserve">Test ID</t>
  </si>
  <si>
    <t xml:space="preserve">User story</t>
  </si>
  <si>
    <t xml:space="preserve">Requirements tested</t>
  </si>
  <si>
    <t xml:space="preserve">Type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</si>
  <si>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</si>
  <si>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</si>
  <si>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</si>
  <si>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</si>
  <si>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Pass / Fail</t>
  </si>
  <si>
    <t xml:space="preserve">TC-01</t>
  </si>
  <si>
    <t xml:space="preserve">US-01</t>
  </si>
  <si>
    <t xml:space="preserve">FR-03</t>
  </si>
  <si>
    <t xml:space="preserve">Positive</t>
  </si>
  <si>
    <t xml:space="preserve">Log in as a new salaried applicant. Start an application. Open the document checklist.</t>
  </si>
  <si>
    <t xml:space="preserve">Applicant type: salaried</t>
  </si>
  <si>
    <t xml:space="preserve">Checklist shows PAN, one identity/address proof, last 3 months' bank statement, latest salary slip.</t>
  </si>
  <si>
    <t xml:space="preserve">TC-02</t>
  </si>
  <si>
    <t xml:space="preserve">US-02</t>
  </si>
  <si>
    <t xml:space="preserve">FR-04, FR-05</t>
  </si>
  <si>
    <t xml:space="preserve">Negative</t>
  </si>
  <si>
    <t xml:space="preserve">Complete the form, upload all documents except the salary slip, click Submit.</t>
  </si>
  <si>
    <t xml:space="preserve">Salary slip not uploaded</t>
  </si>
  <si>
    <t xml:space="preserve">Submission is blocked; message names the salary slip as missing.</t>
  </si>
  <si>
    <t xml:space="preserve">TC-03</t>
  </si>
  <si>
    <t xml:space="preserve">Upload a password-protected PDF as the bank statement.</t>
  </si>
  <si>
    <t xml:space="preserve">Locked PDF</t>
  </si>
  <si>
    <t xml:space="preserve">Upload rejected with the message asking for an unlocked copy.</t>
  </si>
  <si>
    <t xml:space="preserve">TC-04</t>
  </si>
  <si>
    <t xml:space="preserve">US-03</t>
  </si>
  <si>
    <t xml:space="preserve">FR-07, FR-08</t>
  </si>
  <si>
    <t xml:space="preserve">Submit an application in which two uploaded documents fail the quality check.</t>
  </si>
  <si>
    <t xml:space="preserve">Blurred PAN image; statement covering 2 months</t>
  </si>
  <si>
    <t xml:space="preserve">One request is sent listing both items with one upload link.</t>
  </si>
  <si>
    <t xml:space="preserve">TC-05</t>
  </si>
  <si>
    <t xml:space="preserve">Submit an application with a missing item and make no upload for 7 days.</t>
  </si>
  <si>
    <t xml:space="preserve">System date moved forward 7 days</t>
  </si>
  <si>
    <t xml:space="preserve">Application status becomes Lapsed; customer notified.</t>
  </si>
  <si>
    <t xml:space="preserve">TC-06</t>
  </si>
  <si>
    <t xml:space="preserve">US-04</t>
  </si>
  <si>
    <t xml:space="preserve">FR-09, FR-10</t>
  </si>
  <si>
    <t xml:space="preserve">Submit an application whose details match the CKYC record.</t>
  </si>
  <si>
    <t xml:space="preserve">Matching CKYC record</t>
  </si>
  <si>
    <t xml:space="preserve">KYC and PAN marked Verified; no task in the Credit Ops exception queue.</t>
  </si>
  <si>
    <t xml:space="preserve">TC-07</t>
  </si>
  <si>
    <t xml:space="preserve">Submit an application with a name that does not match the PAN.</t>
  </si>
  <si>
    <t xml:space="preserve">Name 'Varun A.' vs PAN 'Varun Arora'</t>
  </si>
  <si>
    <t xml:space="preserve">Application appears in the Credit Ops exception queue with the mismatch shown.</t>
  </si>
  <si>
    <t xml:space="preserve">TC-08</t>
  </si>
  <si>
    <t xml:space="preserve">US-05</t>
  </si>
  <si>
    <t xml:space="preserve">FR-14, FR-15, FR-16</t>
  </si>
  <si>
    <t xml:space="preserve">Submit an in-policy application.</t>
  </si>
  <si>
    <t xml:space="preserve">Score 760, DTI 35%, salaried at a listed employer</t>
  </si>
  <si>
    <t xml:space="preserve">Auto-approved; not placed in the underwriting queue.</t>
  </si>
  <si>
    <t xml:space="preserve">TC-09</t>
  </si>
  <si>
    <t xml:space="preserve">Submit an application with DTI above the policy limit.</t>
  </si>
  <si>
    <t xml:space="preserve">DTI 70% (above the assumed 65% policy limit, modelled on S04)</t>
  </si>
  <si>
    <t xml:space="preserve">Referred to the underwriting queue with reason 'DTI above limit' and the ratio shown.</t>
  </si>
  <si>
    <t xml:space="preserve">TC-10</t>
  </si>
  <si>
    <t xml:space="preserve">US-06</t>
  </si>
  <si>
    <t xml:space="preserve">FR-17, FR-18</t>
  </si>
  <si>
    <t xml:space="preserve">Submit a deviation request and leave it unactioned past the SLA.</t>
  </si>
  <si>
    <t xml:space="preserve">SLA timer expires</t>
  </si>
  <si>
    <t xml:space="preserve">Item escalated to the Head of Retail Lending; escalation logged.</t>
  </si>
  <si>
    <t xml:space="preserve">TC-11</t>
  </si>
  <si>
    <t xml:space="preserve">US-07</t>
  </si>
  <si>
    <t xml:space="preserve">FR-20, FR-21, FR-22</t>
  </si>
  <si>
    <t xml:space="preserve">Open the offer and try to accept without opening the KFS.</t>
  </si>
  <si>
    <t xml:space="preserve">KFS not opened</t>
  </si>
  <si>
    <t xml:space="preserve">Accept button is disabled.</t>
  </si>
  <si>
    <t xml:space="preserve">TC-12</t>
  </si>
  <si>
    <t xml:space="preserve">Open the KFS, accept, e-sign with Aadhaar OTP and approve the e-mandate.</t>
  </si>
  <si>
    <t xml:space="preserve">Valid Aadhaar OTP; valid bank account</t>
  </si>
  <si>
    <t xml:space="preserve">Application moves to the compliance check; signed documents emailed to the customer.</t>
  </si>
  <si>
    <t xml:space="preserve">TC-13</t>
  </si>
  <si>
    <t xml:space="preserve">US-08</t>
  </si>
  <si>
    <t xml:space="preserve">FR-23</t>
  </si>
  <si>
    <t xml:space="preserve">Attempt disbursal on a file with the signed agreement missing.</t>
  </si>
  <si>
    <t xml:space="preserve">Agreement not in evidence checklist</t>
  </si>
  <si>
    <t xml:space="preserve">Disbursal blocked; missing item named.</t>
  </si>
  <si>
    <t xml:space="preserve">Summary</t>
  </si>
  <si>
    <t xml:space="preserve">Total test cases</t>
  </si>
  <si>
    <t xml:space="preserve">Negative tests</t>
  </si>
  <si>
    <t xml:space="preserve">Passed</t>
  </si>
  <si>
    <t xml:space="preserve">Failed</t>
  </si>
  <si>
    <t xml:space="preserve">Not yet run</t>
  </si>
  <si>
    <t xml:space="preserve">Yellow columns are filled in during testing. Negative tests check what the system must stop, which is often where controls live.</t>
  </si>
  <si>
    <t xml:space="preserve">Role</t>
  </si>
  <si>
    <t xml:space="preserve">Test cases</t>
  </si>
  <si>
    <t xml:space="preserve">Number of tests</t>
  </si>
  <si>
    <t xml:space="preserve">Has a negative test?</t>
  </si>
  <si>
    <t xml:space="preserve">Covered?</t>
  </si>
  <si>
    <t xml:space="preserve">Customer</t>
  </si>
  <si>
    <t xml:space="preserve">No</t>
  </si>
  <si>
    <t xml:space="preserve">TC-02, TC-03</t>
  </si>
  <si>
    <t xml:space="preserve">Yes</t>
  </si>
  <si>
    <t xml:space="preserve">TC-04, TC-05</t>
  </si>
  <si>
    <t xml:space="preserve">Credit Operations Analyst</t>
  </si>
  <si>
    <t xml:space="preserve">TC-06, TC-07</t>
  </si>
  <si>
    <t xml:space="preserve">Underwriter</t>
  </si>
  <si>
    <t xml:space="preserve">TC-08, TC-09</t>
  </si>
  <si>
    <t xml:space="preserve">Credit Manager</t>
  </si>
  <si>
    <t xml:space="preserve">TC-11, TC-12</t>
  </si>
  <si>
    <t xml:space="preserve">Risk &amp; Compliance Officer</t>
  </si>
  <si>
    <t xml:space="preserve">Done-when check: every user story has at least one test case.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</si>
</sst>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6B56"/>
        <bgColor rgb="FF008080"/>
      </patternFill>
    </fill>
    <fill>
      <patternFill patternType="solid">
        <fgColor rgb="FFE2F0EB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B2AD"/>
      </left>
      <right style="thin">
        <color rgb="FFA6B2AD"/>
      </right>
      <top style="thin">
        <color rgb="FFA6B2AD"/>
      </top>
      <bottom style="thin">
        <color rgb="FFA6B2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B56"/>
      <rgbColor rgb="FFA6B2AD"/>
      <rgbColor rgb="FF808080"/>
      <rgbColor rgb="FF9999FF"/>
      <rgbColor rgb="FF993366"/>
      <rgbColor rgb="FFFFF2CC"/>
      <rgbColor rgb="FFE2F0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7" min="7" style="0" width="44"/>
    <col collapsed="false" customWidth="true" hidden="false" outlineLevel="0" max="8" min="8" style="0" width="18"/>
    <col collapsed="false" customWidth="true" hidden="false" outlineLevel="0" max="9" min="9" style="0" width="1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5"/>
      <c r="I2" s="5"/>
    </row>
    <row r="3" customFormat="false" ht="23.85" hidden="false" customHeight="false" outlineLevel="0" collapsed="false">
      <c r="A3" s="2" t="s">
        <v>16</v>
      </c>
      <c r="B3" s="3" t="s">
        <v>17</v>
      </c>
      <c r="C3" s="3" t="s">
        <v>18</v>
      </c>
      <c r="D3" s="6" t="s">
        <v>19</v>
      </c>
      <c r="E3" s="3" t="s">
        <v>20</v>
      </c>
      <c r="F3" s="3" t="s">
        <v>21</v>
      </c>
      <c r="G3" s="3" t="s">
        <v>22</v>
      </c>
      <c r="H3" s="5"/>
      <c r="I3" s="5"/>
    </row>
    <row r="4" customFormat="false" ht="23.85" hidden="false" customHeight="false" outlineLevel="0" collapsed="false">
      <c r="A4" s="2" t="s">
        <v>23</v>
      </c>
      <c r="B4" s="3" t="s">
        <v>17</v>
      </c>
      <c r="C4" s="3" t="s">
        <v>18</v>
      </c>
      <c r="D4" s="6" t="s">
        <v>19</v>
      </c>
      <c r="E4" s="3" t="s">
        <v>24</v>
      </c>
      <c r="F4" s="3" t="s">
        <v>25</v>
      </c>
      <c r="G4" s="3" t="s">
        <v>26</v>
      </c>
      <c r="H4" s="5"/>
      <c r="I4" s="5"/>
    </row>
    <row r="5" customFormat="false" ht="23.85" hidden="false" customHeight="false" outlineLevel="0" collapsed="false">
      <c r="A5" s="2" t="s">
        <v>27</v>
      </c>
      <c r="B5" s="3" t="s">
        <v>28</v>
      </c>
      <c r="C5" s="3" t="s">
        <v>29</v>
      </c>
      <c r="D5" s="4" t="s">
        <v>12</v>
      </c>
      <c r="E5" s="3" t="s">
        <v>30</v>
      </c>
      <c r="F5" s="3" t="s">
        <v>31</v>
      </c>
      <c r="G5" s="3" t="s">
        <v>32</v>
      </c>
      <c r="H5" s="5"/>
      <c r="I5" s="5"/>
    </row>
    <row r="6" customFormat="false" ht="23.85" hidden="false" customHeight="false" outlineLevel="0" collapsed="false">
      <c r="A6" s="2" t="s">
        <v>33</v>
      </c>
      <c r="B6" s="3" t="s">
        <v>28</v>
      </c>
      <c r="C6" s="3" t="s">
        <v>29</v>
      </c>
      <c r="D6" s="6" t="s">
        <v>19</v>
      </c>
      <c r="E6" s="3" t="s">
        <v>34</v>
      </c>
      <c r="F6" s="3" t="s">
        <v>35</v>
      </c>
      <c r="G6" s="3" t="s">
        <v>36</v>
      </c>
      <c r="H6" s="5"/>
      <c r="I6" s="5"/>
    </row>
    <row r="7" customFormat="false" ht="23.85" hidden="false" customHeight="false" outlineLevel="0" collapsed="false">
      <c r="A7" s="2" t="s">
        <v>37</v>
      </c>
      <c r="B7" s="3" t="s">
        <v>38</v>
      </c>
      <c r="C7" s="3" t="s">
        <v>39</v>
      </c>
      <c r="D7" s="4" t="s">
        <v>12</v>
      </c>
      <c r="E7" s="3" t="s">
        <v>40</v>
      </c>
      <c r="F7" s="3" t="s">
        <v>41</v>
      </c>
      <c r="G7" s="3" t="s">
        <v>42</v>
      </c>
      <c r="H7" s="5"/>
      <c r="I7" s="5"/>
    </row>
    <row r="8" customFormat="false" ht="23.85" hidden="false" customHeight="false" outlineLevel="0" collapsed="false">
      <c r="A8" s="2" t="s">
        <v>43</v>
      </c>
      <c r="B8" s="3" t="s">
        <v>38</v>
      </c>
      <c r="C8" s="3" t="s">
        <v>39</v>
      </c>
      <c r="D8" s="6" t="s">
        <v>19</v>
      </c>
      <c r="E8" s="3" t="s">
        <v>44</v>
      </c>
      <c r="F8" s="3" t="s">
        <v>45</v>
      </c>
      <c r="G8" s="3" t="s">
        <v>46</v>
      </c>
      <c r="H8" s="5"/>
      <c r="I8" s="5"/>
    </row>
    <row r="9" customFormat="false" ht="23.85" hidden="false" customHeight="false" outlineLevel="0" collapsed="false">
      <c r="A9" s="2" t="s">
        <v>47</v>
      </c>
      <c r="B9" s="3" t="s">
        <v>48</v>
      </c>
      <c r="C9" s="3" t="s">
        <v>49</v>
      </c>
      <c r="D9" s="4" t="s">
        <v>12</v>
      </c>
      <c r="E9" s="3" t="s">
        <v>50</v>
      </c>
      <c r="F9" s="3" t="s">
        <v>51</v>
      </c>
      <c r="G9" s="3" t="s">
        <v>52</v>
      </c>
      <c r="H9" s="5"/>
      <c r="I9" s="5"/>
    </row>
    <row r="10" customFormat="false" ht="23.85" hidden="false" customHeight="false" outlineLevel="0" collapsed="false">
      <c r="A10" s="2" t="s">
        <v>53</v>
      </c>
      <c r="B10" s="3" t="s">
        <v>48</v>
      </c>
      <c r="C10" s="3" t="s">
        <v>49</v>
      </c>
      <c r="D10" s="6" t="s">
        <v>19</v>
      </c>
      <c r="E10" s="3" t="s">
        <v>54</v>
      </c>
      <c r="F10" s="3" t="s">
        <v>55</v>
      </c>
      <c r="G10" s="3" t="s">
        <v>56</v>
      </c>
      <c r="H10" s="5"/>
      <c r="I10" s="5"/>
    </row>
    <row r="11" customFormat="false" ht="23.85" hidden="false" customHeight="false" outlineLevel="0" collapsed="false">
      <c r="A11" s="2" t="s">
        <v>57</v>
      </c>
      <c r="B11" s="3" t="s">
        <v>58</v>
      </c>
      <c r="C11" s="3" t="s">
        <v>59</v>
      </c>
      <c r="D11" s="6" t="s">
        <v>19</v>
      </c>
      <c r="E11" s="3" t="s">
        <v>60</v>
      </c>
      <c r="F11" s="3" t="s">
        <v>61</v>
      </c>
      <c r="G11" s="3" t="s">
        <v>62</v>
      </c>
      <c r="H11" s="5"/>
      <c r="I11" s="5"/>
    </row>
    <row r="12" customFormat="false" ht="23.85" hidden="false" customHeight="false" outlineLevel="0" collapsed="false">
      <c r="A12" s="2" t="s">
        <v>63</v>
      </c>
      <c r="B12" s="3" t="s">
        <v>64</v>
      </c>
      <c r="C12" s="3" t="s">
        <v>65</v>
      </c>
      <c r="D12" s="6" t="s">
        <v>19</v>
      </c>
      <c r="E12" s="3" t="s">
        <v>66</v>
      </c>
      <c r="F12" s="3" t="s">
        <v>67</v>
      </c>
      <c r="G12" s="3" t="s">
        <v>68</v>
      </c>
      <c r="H12" s="5"/>
      <c r="I12" s="5"/>
    </row>
    <row r="13" customFormat="false" ht="23.85" hidden="false" customHeight="false" outlineLevel="0" collapsed="false">
      <c r="A13" s="2" t="s">
        <v>69</v>
      </c>
      <c r="B13" s="3" t="s">
        <v>64</v>
      </c>
      <c r="C13" s="3" t="s">
        <v>65</v>
      </c>
      <c r="D13" s="4" t="s">
        <v>12</v>
      </c>
      <c r="E13" s="3" t="s">
        <v>70</v>
      </c>
      <c r="F13" s="3" t="s">
        <v>71</v>
      </c>
      <c r="G13" s="3" t="s">
        <v>72</v>
      </c>
      <c r="H13" s="5"/>
      <c r="I13" s="5"/>
    </row>
    <row r="14" customFormat="false" ht="23.85" hidden="false" customHeight="false" outlineLevel="0" collapsed="false">
      <c r="A14" s="2" t="s">
        <v>73</v>
      </c>
      <c r="B14" s="3" t="s">
        <v>74</v>
      </c>
      <c r="C14" s="3" t="s">
        <v>75</v>
      </c>
      <c r="D14" s="6" t="s">
        <v>19</v>
      </c>
      <c r="E14" s="3" t="s">
        <v>76</v>
      </c>
      <c r="F14" s="3" t="s">
        <v>77</v>
      </c>
      <c r="G14" s="3" t="s">
        <v>78</v>
      </c>
      <c r="H14" s="5"/>
      <c r="I14" s="5"/>
    </row>
    <row r="16" customFormat="false" ht="15" hidden="false" customHeight="false" outlineLevel="0" collapsed="false">
      <c r="A16" s="7" t="s">
        <v>79</v>
      </c>
    </row>
    <row r="17" customFormat="false" ht="15" hidden="false" customHeight="false" outlineLevel="0" collapsed="false">
      <c r="A17" s="8" t="s">
        <v>80</v>
      </c>
      <c r="C17" s="7" t="n">
        <f aca="false">COUNTA(A2:A14)</f>
        <v>13</v>
      </c>
    </row>
    <row r="18" customFormat="false" ht="15" hidden="false" customHeight="false" outlineLevel="0" collapsed="false">
      <c r="A18" s="8" t="s">
        <v>81</v>
      </c>
      <c r="C18" s="7" t="n">
        <f aca="false">COUNTIF(D2:D14,"Negative")</f>
        <v>8</v>
      </c>
    </row>
    <row r="19" customFormat="false" ht="15" hidden="false" customHeight="false" outlineLevel="0" collapsed="false">
      <c r="A19" s="8" t="s">
        <v>82</v>
      </c>
      <c r="C19" s="7" t="n">
        <f aca="false">COUNTIF(I2:I14,"Pass")</f>
        <v>0</v>
      </c>
    </row>
    <row r="20" customFormat="false" ht="15" hidden="false" customHeight="false" outlineLevel="0" collapsed="false">
      <c r="A20" s="8" t="s">
        <v>83</v>
      </c>
      <c r="C20" s="7" t="n">
        <f aca="false">COUNTIF(I2:I14,"Fail")</f>
        <v>0</v>
      </c>
    </row>
    <row r="21" customFormat="false" ht="15" hidden="false" customHeight="false" outlineLevel="0" collapsed="false">
      <c r="A21" s="8" t="s">
        <v>84</v>
      </c>
      <c r="C21" s="7" t="n">
        <f aca="false">COUNTBLANK(I2:I14)</f>
        <v>13</v>
      </c>
    </row>
    <row r="23" customFormat="false" ht="15" hidden="false" customHeight="false" outlineLevel="0" collapsed="false">
      <c r="A23" s="9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1"/>
  </cols>
  <sheetData>
    <row r="1" customFormat="false" ht="23.85" hidden="false" customHeight="false" outlineLevel="0" collapsed="false">
      <c r="A1" s="1" t="s">
        <v>1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</row>
    <row r="2" customFormat="false" ht="15" hidden="false" customHeight="false" outlineLevel="0" collapsed="false">
      <c r="A2" s="2" t="s">
        <v>10</v>
      </c>
      <c r="B2" s="3" t="s">
        <v>91</v>
      </c>
      <c r="C2" s="3" t="s">
        <v>9</v>
      </c>
      <c r="D2" s="3" t="n">
        <f aca="false">COUNTIF('UAT test cases'!B2:B14,A2)</f>
        <v>1</v>
      </c>
      <c r="E2" s="3" t="s">
        <v>92</v>
      </c>
      <c r="F2" s="3" t="str">
        <f aca="false">IF(D2&gt;=1,"Yes","No")</f>
        <v>Yes</v>
      </c>
    </row>
    <row r="3" customFormat="false" ht="15" hidden="false" customHeight="false" outlineLevel="0" collapsed="false">
      <c r="A3" s="2" t="s">
        <v>17</v>
      </c>
      <c r="B3" s="3" t="s">
        <v>91</v>
      </c>
      <c r="C3" s="3" t="s">
        <v>93</v>
      </c>
      <c r="D3" s="3" t="n">
        <f aca="false">COUNTIF('UAT test cases'!B2:B14,A3)</f>
        <v>2</v>
      </c>
      <c r="E3" s="3" t="s">
        <v>94</v>
      </c>
      <c r="F3" s="3" t="str">
        <f aca="false">IF(D3&gt;=1,"Yes","No")</f>
        <v>Yes</v>
      </c>
    </row>
    <row r="4" customFormat="false" ht="15" hidden="false" customHeight="false" outlineLevel="0" collapsed="false">
      <c r="A4" s="2" t="s">
        <v>28</v>
      </c>
      <c r="B4" s="3" t="s">
        <v>91</v>
      </c>
      <c r="C4" s="3" t="s">
        <v>95</v>
      </c>
      <c r="D4" s="3" t="n">
        <f aca="false">COUNTIF('UAT test cases'!B2:B14,A4)</f>
        <v>2</v>
      </c>
      <c r="E4" s="3" t="s">
        <v>94</v>
      </c>
      <c r="F4" s="3" t="str">
        <f aca="false">IF(D4&gt;=1,"Yes","No")</f>
        <v>Yes</v>
      </c>
    </row>
    <row r="5" customFormat="false" ht="15" hidden="false" customHeight="false" outlineLevel="0" collapsed="false">
      <c r="A5" s="2" t="s">
        <v>38</v>
      </c>
      <c r="B5" s="3" t="s">
        <v>96</v>
      </c>
      <c r="C5" s="3" t="s">
        <v>97</v>
      </c>
      <c r="D5" s="3" t="n">
        <f aca="false">COUNTIF('UAT test cases'!B2:B14,A5)</f>
        <v>2</v>
      </c>
      <c r="E5" s="3" t="s">
        <v>94</v>
      </c>
      <c r="F5" s="3" t="str">
        <f aca="false">IF(D5&gt;=1,"Yes","No")</f>
        <v>Yes</v>
      </c>
    </row>
    <row r="6" customFormat="false" ht="15" hidden="false" customHeight="false" outlineLevel="0" collapsed="false">
      <c r="A6" s="2" t="s">
        <v>48</v>
      </c>
      <c r="B6" s="3" t="s">
        <v>98</v>
      </c>
      <c r="C6" s="3" t="s">
        <v>99</v>
      </c>
      <c r="D6" s="3" t="n">
        <f aca="false">COUNTIF('UAT test cases'!B2:B14,A6)</f>
        <v>2</v>
      </c>
      <c r="E6" s="3" t="s">
        <v>94</v>
      </c>
      <c r="F6" s="3" t="str">
        <f aca="false">IF(D6&gt;=1,"Yes","No")</f>
        <v>Yes</v>
      </c>
    </row>
    <row r="7" customFormat="false" ht="15" hidden="false" customHeight="false" outlineLevel="0" collapsed="false">
      <c r="A7" s="2" t="s">
        <v>58</v>
      </c>
      <c r="B7" s="3" t="s">
        <v>100</v>
      </c>
      <c r="C7" s="3" t="s">
        <v>57</v>
      </c>
      <c r="D7" s="3" t="n">
        <f aca="false">COUNTIF('UAT test cases'!B2:B14,A7)</f>
        <v>1</v>
      </c>
      <c r="E7" s="3" t="s">
        <v>94</v>
      </c>
      <c r="F7" s="3" t="str">
        <f aca="false">IF(D7&gt;=1,"Yes","No")</f>
        <v>Yes</v>
      </c>
    </row>
    <row r="8" customFormat="false" ht="15" hidden="false" customHeight="false" outlineLevel="0" collapsed="false">
      <c r="A8" s="2" t="s">
        <v>64</v>
      </c>
      <c r="B8" s="3" t="s">
        <v>91</v>
      </c>
      <c r="C8" s="3" t="s">
        <v>101</v>
      </c>
      <c r="D8" s="3" t="n">
        <f aca="false">COUNTIF('UAT test cases'!B2:B14,A8)</f>
        <v>2</v>
      </c>
      <c r="E8" s="3" t="s">
        <v>94</v>
      </c>
      <c r="F8" s="3" t="str">
        <f aca="false">IF(D8&gt;=1,"Yes","No")</f>
        <v>Yes</v>
      </c>
    </row>
    <row r="9" customFormat="false" ht="15" hidden="false" customHeight="false" outlineLevel="0" collapsed="false">
      <c r="A9" s="2" t="s">
        <v>74</v>
      </c>
      <c r="B9" s="3" t="s">
        <v>102</v>
      </c>
      <c r="C9" s="3" t="s">
        <v>73</v>
      </c>
      <c r="D9" s="3" t="n">
        <f aca="false">COUNTIF('UAT test cases'!B2:B14,A9)</f>
        <v>1</v>
      </c>
      <c r="E9" s="3" t="s">
        <v>94</v>
      </c>
      <c r="F9" s="3" t="str">
        <f aca="false">IF(D9&gt;=1,"Yes","No")</f>
        <v>Yes</v>
      </c>
    </row>
    <row r="11" customFormat="false" ht="15" hidden="false" customHeight="false" outlineLevel="0" collapsed="false">
      <c r="A11" s="9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2026-09-26T21:02:48Z</dcterms:created>
  <dc:creator>openpyxl</dc:creator>
  <dc:description/>
  <dc:language>en-US</dc:language>
  <cp:lastModifiedBy/>
  <dcterms:modified xsi:type="dcterms:W3CDTF">2026-09-26T21:02:48Z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