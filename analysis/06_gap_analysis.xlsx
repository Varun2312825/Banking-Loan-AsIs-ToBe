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Summary by type" sheetId="2" state="visible" r:id="rId4"/>
    <sheet name="To-Be box cover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<sst xmlns="http://schemas.openxmlformats.org/spreadsheetml/2006/main" count="271" uniqueCount="191">
  <si>
    <t xml:space="preserve">Gap ID</t>
  </si>
  <si>
    <t xml:space="preserve">Area</t>
  </si>
  <si>
    <t xml:space="preserve">As-Is</t>
  </si>
  <si>
    <t xml:space="preserve">To-Be</t>
  </si>
  <si>
    <t xml:space="preserve">What must change</t>
  </si>
  <si>
    <t xml:space="preserve">Type</t>
  </si>
  <si>
    <t xml:space="preserve">Pain points</t>
  </si>
  <si>
    <t xml:space="preserve">Improvement</t>
  </si>
  <si>
    <t xml:space="preserve">Activities affected</t>
  </si>
  <si>
    <t xml:space="preserve">G01</t>
  </si>
  <si>
    <t xml:space="preserve">Application capture</t>
  </si>
  <si>
    <t xml:space="preserve">Paper or branch form; details typed into the LOS by the branch (A1–A2)</t>
  </si>
  <si>
    <t xml:space="preserve">Customer applies once in a digital form, self-service or staff-assisted (N1)</t>
  </si>
  <si>
    <t xml:space="preserve">Build a digital application journey; stop branch re-keying</t>
  </si>
  <si>
    <t xml:space="preserve">System</t>
  </si>
  <si>
    <t xml:space="preserve">PP-04</t>
  </si>
  <si>
    <t xml:space="preserve">I1</t>
  </si>
  <si>
    <t xml:space="preserve">A1–A2 → N1</t>
  </si>
  <si>
    <t xml:space="preserve">N1</t>
  </si>
  <si>
    <t xml:space="preserve">G02</t>
  </si>
  <si>
    <t xml:space="preserve">Document completeness</t>
  </si>
  <si>
    <t xml:space="preserve">Checked by Credit Ops after the handoff (A7)</t>
  </si>
  <si>
    <t xml:space="preserve">Checked by the system at submission; incomplete applications cannot be submitted (N2)</t>
  </si>
  <si>
    <t xml:space="preserve">Add mandatory-document rules and file-quality checks at upload</t>
  </si>
  <si>
    <t xml:space="preserve">PP-01</t>
  </si>
  <si>
    <t xml:space="preserve">A7 → N2</t>
  </si>
  <si>
    <t xml:space="preserve">N2</t>
  </si>
  <si>
    <t xml:space="preserve">G03</t>
  </si>
  <si>
    <t xml:space="preserve">Ownership of completeness</t>
  </si>
  <si>
    <t xml:space="preserve">Branch collects, Credit Ops accountable (RACI OBS-01)</t>
  </si>
  <si>
    <t xml:space="preserve">Owned at the point of capture: the system for self-service, the branch for assisted applications</t>
  </si>
  <si>
    <t xml:space="preserve">Update the RACI and branch objectives to include file quality</t>
  </si>
  <si>
    <t xml:space="preserve">People</t>
  </si>
  <si>
    <t xml:space="preserve">RACI</t>
  </si>
  <si>
    <t xml:space="preserve">N1 (RACI)</t>
  </si>
  <si>
    <t xml:space="preserve">G04</t>
  </si>
  <si>
    <t xml:space="preserve">Missing documents</t>
  </si>
  <si>
    <t xml:space="preserve">Emailed to the branch, then phoned to the customer, one problem at a time (A8)</t>
  </si>
  <si>
    <t xml:space="preserve">One consolidated request with an upload link (N3)</t>
  </si>
  <si>
    <t xml:space="preserve">Automated request listing all gaps; secure upload link; 7-day lapse rule</t>
  </si>
  <si>
    <t xml:space="preserve">Process</t>
  </si>
  <si>
    <t xml:space="preserve">A8 → N3</t>
  </si>
  <si>
    <t xml:space="preserve">N3, Upload missing item</t>
  </si>
  <si>
    <t xml:space="preserve">G05</t>
  </si>
  <si>
    <t xml:space="preserve">KYC and PAN checks</t>
  </si>
  <si>
    <t xml:space="preserve">Manual portal checks, results typed into the LOS (A9–A10)</t>
  </si>
  <si>
    <t xml:space="preserve">Automatic e-KYC / CKYC and PAN validation at submission (N4)</t>
  </si>
  <si>
    <t xml:space="preserve">Integrate the LOS with the CKYC registry, e-KYC and PAN services</t>
  </si>
  <si>
    <t xml:space="preserve">I2</t>
  </si>
  <si>
    <t xml:space="preserve">A9–A10 → N4</t>
  </si>
  <si>
    <t xml:space="preserve">N4</t>
  </si>
  <si>
    <t xml:space="preserve">G06</t>
  </si>
  <si>
    <t xml:space="preserve">Credit bureau timing</t>
  </si>
  <si>
    <t xml:space="preserve">Pulled after all verification (A14)</t>
  </si>
  <si>
    <t xml:space="preserve">Pulled at submission, before staff spend time on the file (N4)</t>
  </si>
  <si>
    <t xml:space="preserve">Move the bureau pull to submission (after consent)</t>
  </si>
  <si>
    <t xml:space="preserve">PP-05</t>
  </si>
  <si>
    <t xml:space="preserve">A14 → N4</t>
  </si>
  <si>
    <t xml:space="preserve">G07</t>
  </si>
  <si>
    <t xml:space="preserve">Employment verification</t>
  </si>
  <si>
    <t xml:space="preserve">Email or phone to employer HR (A12)</t>
  </si>
  <si>
    <t xml:space="preserve">Official-email OTP or employer database check (N4)</t>
  </si>
  <si>
    <t xml:space="preserve">Add employment verification service to the LOS</t>
  </si>
  <si>
    <t xml:space="preserve">PP-06</t>
  </si>
  <si>
    <t xml:space="preserve">A12 → N4</t>
  </si>
  <si>
    <t xml:space="preserve">G08</t>
  </si>
  <si>
    <t xml:space="preserve">Income and DTI assessment</t>
  </si>
  <si>
    <t xml:space="preserve">Checked by Credit Ops and again by the Underwriter, calculated in a spreadsheet (A11, A15–A16)</t>
  </si>
  <si>
    <t xml:space="preserve">Calculated once by the system from bureau and bank-statement data (N7)</t>
  </si>
  <si>
    <t xml:space="preserve">Configure DTI calculation; retire the spreadsheet; remove the duplicate income check</t>
  </si>
  <si>
    <t xml:space="preserve">PP-04, PP-08</t>
  </si>
  <si>
    <t xml:space="preserve">I3</t>
  </si>
  <si>
    <t xml:space="preserve">A11, A15–A16 → N7</t>
  </si>
  <si>
    <t xml:space="preserve">N7</t>
  </si>
  <si>
    <t xml:space="preserve">G09</t>
  </si>
  <si>
    <t xml:space="preserve">Credit decision</t>
  </si>
  <si>
    <t xml:space="preserve">Every application decided manually (A17, A19)</t>
  </si>
  <si>
    <t xml:space="preserve">Applications that meet policy are auto-decided; others referred with reasons (N7, A15, A19)</t>
  </si>
  <si>
    <t xml:space="preserve">Approve auto-decision rules in the credit policy; set referral reasons</t>
  </si>
  <si>
    <t xml:space="preserve">Policy</t>
  </si>
  <si>
    <t xml:space="preserve">A17, A19</t>
  </si>
  <si>
    <t xml:space="preserve">N7, A15, A19</t>
  </si>
  <si>
    <t xml:space="preserve">G10</t>
  </si>
  <si>
    <t xml:space="preserve">Referrals and deviations</t>
  </si>
  <si>
    <t xml:space="preserve">Sent by email; status invisible (A13 review, A18)</t>
  </si>
  <si>
    <t xml:space="preserve">Routed in LOS queues with SLAs and escalation</t>
  </si>
  <si>
    <t xml:space="preserve">Build referral queues, SLA timers and escalation in the LOS</t>
  </si>
  <si>
    <t xml:space="preserve">PP-07</t>
  </si>
  <si>
    <t xml:space="preserve">I5</t>
  </si>
  <si>
    <t xml:space="preserve">A13R, A18</t>
  </si>
  <si>
    <t xml:space="preserve">G11</t>
  </si>
  <si>
    <t xml:space="preserve">Closing</t>
  </si>
  <si>
    <t xml:space="preserve">Sanction reply, branch visit to sign, separate mandate (A21–A23)</t>
  </si>
  <si>
    <t xml:space="preserve">Accept, e-sign and e-mandate in one customer session after the KFS (N6)</t>
  </si>
  <si>
    <t xml:space="preserve">Integrate Aadhaar OTP e-sign and e-mandate; combine the three steps</t>
  </si>
  <si>
    <t xml:space="preserve">PP-02, PP-03</t>
  </si>
  <si>
    <t xml:space="preserve">I4</t>
  </si>
  <si>
    <t xml:space="preserve">A21–A23 → N6</t>
  </si>
  <si>
    <t xml:space="preserve">N9, N6, N6R</t>
  </si>
  <si>
    <t xml:space="preserve">G12</t>
  </si>
  <si>
    <t xml:space="preserve">Compliance evidence</t>
  </si>
  <si>
    <t xml:space="preserve">Collected by hand at the final check (A24)</t>
  </si>
  <si>
    <t xml:space="preserve">Compiled automatically as the process runs; disbursal blocked until complete</t>
  </si>
  <si>
    <t xml:space="preserve">Evidence checklist generated by the LOS</t>
  </si>
  <si>
    <t xml:space="preserve">PP-09</t>
  </si>
  <si>
    <t xml:space="preserve">A24</t>
  </si>
  <si>
    <t xml:space="preserve">G13</t>
  </si>
  <si>
    <t xml:space="preserve">Loan account creation</t>
  </si>
  <si>
    <t xml:space="preserve">Loan terms re-keyed from the LOS into the core banking system (A25)</t>
  </si>
  <si>
    <t xml:space="preserve">Created through an LOS–CBS integration</t>
  </si>
  <si>
    <t xml:space="preserve">Build the LOS–CBS interface</t>
  </si>
  <si>
    <t xml:space="preserve">I6</t>
  </si>
  <si>
    <t xml:space="preserve">A25</t>
  </si>
  <si>
    <t xml:space="preserve">G14</t>
  </si>
  <si>
    <t xml:space="preserve">Status visibility</t>
  </si>
  <si>
    <t xml:space="preserve">Customer calls the branch for updates</t>
  </si>
  <si>
    <t xml:space="preserve">Automatic SMS / email at each stage change</t>
  </si>
  <si>
    <t xml:space="preserve">Notification service linked to LOS status changes</t>
  </si>
  <si>
    <t xml:space="preserve">PP-10</t>
  </si>
  <si>
    <t xml:space="preserve">All stages</t>
  </si>
  <si>
    <t xml:space="preserve">— (notifications, not drawn)</t>
  </si>
  <si>
    <t xml:space="preserve">G15</t>
  </si>
  <si>
    <t xml:space="preserve">Staff roles</t>
  </si>
  <si>
    <t xml:space="preserve">Credit Ops checks every file; underwriters review every application</t>
  </si>
  <si>
    <t xml:space="preserve">Credit Ops handles exceptions; underwriters review referred cases only</t>
  </si>
  <si>
    <t xml:space="preserve">Redefine roles, retrain staff, update procedures</t>
  </si>
  <si>
    <t xml:space="preserve">PP-01, PP-08</t>
  </si>
  <si>
    <t xml:space="preserve">I1–I3</t>
  </si>
  <si>
    <t xml:space="preserve">N4X, A15</t>
  </si>
  <si>
    <t xml:space="preserve">G16</t>
  </si>
  <si>
    <t xml:space="preserve">Fraud and negative-list screening</t>
  </si>
  <si>
    <t xml:space="preserve">Run by hand by Credit Ops (A13); hits referred by email</t>
  </si>
  <si>
    <t xml:space="preserve">Run automatically at submission (N5); only hits reach a person</t>
  </si>
  <si>
    <t xml:space="preserve">Connect the screening lists to the LOS and run them at submission</t>
  </si>
  <si>
    <t xml:space="preserve">A13 → N5</t>
  </si>
  <si>
    <t xml:space="preserve">N5</t>
  </si>
  <si>
    <t xml:space="preserve">G17</t>
  </si>
  <si>
    <t xml:space="preserve">Welcome pack and archiving</t>
  </si>
  <si>
    <t xml:space="preserve">Prepared and archived by hand; signed documents sometimes not sent (A26)</t>
  </si>
  <si>
    <t xml:space="preserve">Generated, sent and archived automatically, with signed copies to the customer</t>
  </si>
  <si>
    <t xml:space="preserve">Automatic welcome pack, document dispatch and archiving in the LOS / DMS</t>
  </si>
  <si>
    <t xml:space="preserve">A26</t>
  </si>
  <si>
    <t xml:space="preserve">Every change in loan_origination_to_be.drawio has a gap row. Every requirement in 10_BRD traces back to a gap ID.</t>
  </si>
  <si>
    <t xml:space="preserve">Type colours: green = Process · blue = System · orange = People · purple = Policy.</t>
  </si>
  <si>
    <t xml:space="preserve">Number of gaps</t>
  </si>
  <si>
    <t xml:space="preserve">Meaning</t>
  </si>
  <si>
    <t xml:space="preserve">A change to the order or design of steps</t>
  </si>
  <si>
    <t xml:space="preserve">A change to the loan system or its integrations (becomes functional requirements)</t>
  </si>
  <si>
    <t xml:space="preserve">A change to roles, responsibilities or skills</t>
  </si>
  <si>
    <t xml:space="preserve">A change to credit policy that the business must approve</t>
  </si>
  <si>
    <t xml:space="preserve">Total</t>
  </si>
  <si>
    <t xml:space="preserve">To-Be box</t>
  </si>
  <si>
    <t xml:space="preserve">What it does</t>
  </si>
  <si>
    <t xml:space="preserve">Colour</t>
  </si>
  <si>
    <t xml:space="preserve">Gap rows</t>
  </si>
  <si>
    <t xml:space="preserve">Covered?</t>
  </si>
  <si>
    <t xml:space="preserve">Apply online and upload documents</t>
  </si>
  <si>
    <t xml:space="preserve">Orange</t>
  </si>
  <si>
    <t xml:space="preserve">G01, G03</t>
  </si>
  <si>
    <t xml:space="preserve">Upload missing item</t>
  </si>
  <si>
    <t xml:space="preserve">Customer uploads a missing item (part of N3)</t>
  </si>
  <si>
    <t xml:space="preserve">Validate completeness and document quality</t>
  </si>
  <si>
    <t xml:space="preserve">Blue</t>
  </si>
  <si>
    <t xml:space="preserve">N3</t>
  </si>
  <si>
    <t xml:space="preserve">Send one request for all missing items</t>
  </si>
  <si>
    <t xml:space="preserve">Run e-KYC, PAN, bureau and employment checks</t>
  </si>
  <si>
    <t xml:space="preserve">G05, G06, G07</t>
  </si>
  <si>
    <t xml:space="preserve">N4X</t>
  </si>
  <si>
    <t xml:space="preserve">Resolve verification exception</t>
  </si>
  <si>
    <t xml:space="preserve">Screen fraud and negative lists</t>
  </si>
  <si>
    <t xml:space="preserve">A13R</t>
  </si>
  <si>
    <t xml:space="preserve">Review screening hit in LOS queue</t>
  </si>
  <si>
    <t xml:space="preserve">Calculate DTI and apply policy rules</t>
  </si>
  <si>
    <t xml:space="preserve">G08, G09</t>
  </si>
  <si>
    <t xml:space="preserve">A15</t>
  </si>
  <si>
    <t xml:space="preserve">Review referred application</t>
  </si>
  <si>
    <t xml:space="preserve">G09, G15</t>
  </si>
  <si>
    <t xml:space="preserve">A18</t>
  </si>
  <si>
    <t xml:space="preserve">Approve deviation in LOS</t>
  </si>
  <si>
    <t xml:space="preserve">A19</t>
  </si>
  <si>
    <t xml:space="preserve">Record credit decision</t>
  </si>
  <si>
    <t xml:space="preserve">N9</t>
  </si>
  <si>
    <t xml:space="preserve">Issue offer with KFS digitally</t>
  </si>
  <si>
    <t xml:space="preserve">N6</t>
  </si>
  <si>
    <t xml:space="preserve">Accept offer, e-sign, set up e-mandate</t>
  </si>
  <si>
    <t xml:space="preserve">N6R</t>
  </si>
  <si>
    <t xml:space="preserve">Confirm e-mandate registration</t>
  </si>
  <si>
    <t xml:space="preserve">Final compliance check (evidence pre-compiled)</t>
  </si>
  <si>
    <t xml:space="preserve">Disburse funds via LOS–CBS link</t>
  </si>
  <si>
    <t xml:space="preserve">Send welcome pack and archive file</t>
  </si>
  <si>
    <t xml:space="preserve">Done-when check: every coloured box in loan_origination_to_be.drawio has at least one gap row.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</si>
</sst>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6B56"/>
        <bgColor rgb="FF008080"/>
      </patternFill>
    </fill>
    <fill>
      <patternFill patternType="solid">
        <fgColor rgb="FFDDEBF7"/>
        <bgColor rgb="FFE2F0EB"/>
      </patternFill>
    </fill>
    <fill>
      <patternFill patternType="solid">
        <fgColor rgb="FFFDE9C8"/>
        <bgColor rgb="FFEDE7F6"/>
      </patternFill>
    </fill>
    <fill>
      <patternFill patternType="solid">
        <fgColor rgb="FFE2F0EB"/>
        <bgColor rgb="FFDDEBF7"/>
      </patternFill>
    </fill>
    <fill>
      <patternFill patternType="solid">
        <fgColor rgb="FFEDE7F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2AD"/>
      </left>
      <right style="thin">
        <color rgb="FFA6B2AD"/>
      </right>
      <top style="thin">
        <color rgb="FFA6B2AD"/>
      </top>
      <bottom style="thin">
        <color rgb="FFA6B2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56"/>
      <rgbColor rgb="FFA6B2AD"/>
      <rgbColor rgb="FF808080"/>
      <rgbColor rgb="FF9999FF"/>
      <rgbColor rgb="FF993366"/>
      <rgbColor rgb="FFFDE9C8"/>
      <rgbColor rgb="FFE2F0EB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40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customFormat="false" ht="35.05" hidden="false" customHeight="false" outlineLevel="0" collapsed="false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4" t="s">
        <v>14</v>
      </c>
      <c r="G3" s="3" t="s">
        <v>24</v>
      </c>
      <c r="H3" s="3" t="s">
        <v>16</v>
      </c>
      <c r="I3" s="3" t="s">
        <v>25</v>
      </c>
      <c r="J3" s="3" t="s">
        <v>26</v>
      </c>
    </row>
    <row r="4" customFormat="false" ht="23.85" hidden="false" customHeight="false" outlineLevel="0" collapsed="false">
      <c r="A4" s="2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5" t="s">
        <v>32</v>
      </c>
      <c r="G4" s="3" t="s">
        <v>24</v>
      </c>
      <c r="H4" s="3" t="s">
        <v>16</v>
      </c>
      <c r="I4" s="3" t="s">
        <v>33</v>
      </c>
      <c r="J4" s="3" t="s">
        <v>34</v>
      </c>
    </row>
    <row r="5" customFormat="false" ht="46.25" hidden="false" customHeight="false" outlineLevel="0" collapsed="false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6" t="s">
        <v>40</v>
      </c>
      <c r="G5" s="3" t="s">
        <v>24</v>
      </c>
      <c r="H5" s="3" t="s">
        <v>16</v>
      </c>
      <c r="I5" s="3" t="s">
        <v>41</v>
      </c>
      <c r="J5" s="3" t="s">
        <v>42</v>
      </c>
    </row>
    <row r="6" customFormat="false" ht="23.85" hidden="false" customHeight="false" outlineLevel="0" collapsed="false">
      <c r="A6" s="2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4" t="s">
        <v>14</v>
      </c>
      <c r="G6" s="3" t="s">
        <v>15</v>
      </c>
      <c r="H6" s="3" t="s">
        <v>48</v>
      </c>
      <c r="I6" s="3" t="s">
        <v>49</v>
      </c>
      <c r="J6" s="3" t="s">
        <v>50</v>
      </c>
    </row>
    <row r="7" customFormat="false" ht="23.85" hidden="false" customHeight="false" outlineLevel="0" collapsed="false">
      <c r="A7" s="2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6" t="s">
        <v>40</v>
      </c>
      <c r="G7" s="3" t="s">
        <v>56</v>
      </c>
      <c r="H7" s="3" t="s">
        <v>48</v>
      </c>
      <c r="I7" s="3" t="s">
        <v>57</v>
      </c>
      <c r="J7" s="3" t="s">
        <v>50</v>
      </c>
    </row>
    <row r="8" customFormat="false" ht="23.85" hidden="false" customHeight="false" outlineLevel="0" collapsed="false">
      <c r="A8" s="2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4" t="s">
        <v>14</v>
      </c>
      <c r="G8" s="3" t="s">
        <v>63</v>
      </c>
      <c r="H8" s="3" t="s">
        <v>48</v>
      </c>
      <c r="I8" s="3" t="s">
        <v>64</v>
      </c>
      <c r="J8" s="3" t="s">
        <v>50</v>
      </c>
    </row>
    <row r="9" customFormat="false" ht="35.05" hidden="false" customHeight="false" outlineLevel="0" collapsed="false">
      <c r="A9" s="2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4" t="s">
        <v>14</v>
      </c>
      <c r="G9" s="3" t="s">
        <v>70</v>
      </c>
      <c r="H9" s="3" t="s">
        <v>71</v>
      </c>
      <c r="I9" s="3" t="s">
        <v>72</v>
      </c>
      <c r="J9" s="3" t="s">
        <v>73</v>
      </c>
    </row>
    <row r="10" customFormat="false" ht="23.85" hidden="false" customHeight="false" outlineLevel="0" collapsed="false">
      <c r="A10" s="2" t="s">
        <v>74</v>
      </c>
      <c r="B10" s="3" t="s">
        <v>75</v>
      </c>
      <c r="C10" s="3" t="s">
        <v>76</v>
      </c>
      <c r="D10" s="3" t="s">
        <v>77</v>
      </c>
      <c r="E10" s="3" t="s">
        <v>78</v>
      </c>
      <c r="F10" s="7" t="s">
        <v>79</v>
      </c>
      <c r="G10" s="3" t="s">
        <v>15</v>
      </c>
      <c r="H10" s="3" t="s">
        <v>71</v>
      </c>
      <c r="I10" s="3" t="s">
        <v>80</v>
      </c>
      <c r="J10" s="3" t="s">
        <v>81</v>
      </c>
    </row>
    <row r="11" customFormat="false" ht="23.85" hidden="false" customHeight="false" outlineLevel="0" collapsed="false">
      <c r="A11" s="2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4" t="s">
        <v>14</v>
      </c>
      <c r="G11" s="3" t="s">
        <v>87</v>
      </c>
      <c r="H11" s="3" t="s">
        <v>88</v>
      </c>
      <c r="I11" s="3" t="s">
        <v>89</v>
      </c>
      <c r="J11" s="3" t="s">
        <v>89</v>
      </c>
    </row>
    <row r="12" customFormat="false" ht="23.85" hidden="false" customHeight="false" outlineLevel="0" collapsed="false">
      <c r="A12" s="2" t="s">
        <v>90</v>
      </c>
      <c r="B12" s="3" t="s">
        <v>91</v>
      </c>
      <c r="C12" s="3" t="s">
        <v>92</v>
      </c>
      <c r="D12" s="3" t="s">
        <v>93</v>
      </c>
      <c r="E12" s="3" t="s">
        <v>94</v>
      </c>
      <c r="F12" s="6" t="s">
        <v>40</v>
      </c>
      <c r="G12" s="3" t="s">
        <v>95</v>
      </c>
      <c r="H12" s="3" t="s">
        <v>96</v>
      </c>
      <c r="I12" s="3" t="s">
        <v>97</v>
      </c>
      <c r="J12" s="3" t="s">
        <v>98</v>
      </c>
    </row>
    <row r="13" customFormat="false" ht="23.85" hidden="false" customHeight="false" outlineLevel="0" collapsed="false">
      <c r="A13" s="2" t="s">
        <v>99</v>
      </c>
      <c r="B13" s="3" t="s">
        <v>100</v>
      </c>
      <c r="C13" s="3" t="s">
        <v>101</v>
      </c>
      <c r="D13" s="3" t="s">
        <v>102</v>
      </c>
      <c r="E13" s="3" t="s">
        <v>103</v>
      </c>
      <c r="F13" s="4" t="s">
        <v>14</v>
      </c>
      <c r="G13" s="3" t="s">
        <v>104</v>
      </c>
      <c r="H13" s="3" t="s">
        <v>88</v>
      </c>
      <c r="I13" s="3" t="s">
        <v>105</v>
      </c>
      <c r="J13" s="3" t="s">
        <v>105</v>
      </c>
    </row>
    <row r="14" customFormat="false" ht="23.85" hidden="false" customHeight="false" outlineLevel="0" collapsed="false">
      <c r="A14" s="2" t="s">
        <v>106</v>
      </c>
      <c r="B14" s="3" t="s">
        <v>107</v>
      </c>
      <c r="C14" s="3" t="s">
        <v>108</v>
      </c>
      <c r="D14" s="3" t="s">
        <v>109</v>
      </c>
      <c r="E14" s="3" t="s">
        <v>110</v>
      </c>
      <c r="F14" s="4" t="s">
        <v>14</v>
      </c>
      <c r="G14" s="3" t="s">
        <v>15</v>
      </c>
      <c r="H14" s="3" t="s">
        <v>111</v>
      </c>
      <c r="I14" s="3" t="s">
        <v>112</v>
      </c>
      <c r="J14" s="3" t="s">
        <v>112</v>
      </c>
    </row>
    <row r="15" customFormat="false" ht="46.25" hidden="false" customHeight="false" outlineLevel="0" collapsed="false">
      <c r="A15" s="2" t="s">
        <v>113</v>
      </c>
      <c r="B15" s="3" t="s">
        <v>114</v>
      </c>
      <c r="C15" s="3" t="s">
        <v>115</v>
      </c>
      <c r="D15" s="3" t="s">
        <v>116</v>
      </c>
      <c r="E15" s="3" t="s">
        <v>117</v>
      </c>
      <c r="F15" s="4" t="s">
        <v>14</v>
      </c>
      <c r="G15" s="3" t="s">
        <v>118</v>
      </c>
      <c r="H15" s="3" t="s">
        <v>88</v>
      </c>
      <c r="I15" s="3" t="s">
        <v>119</v>
      </c>
      <c r="J15" s="3" t="s">
        <v>120</v>
      </c>
    </row>
    <row r="16" customFormat="false" ht="23.85" hidden="false" customHeight="false" outlineLevel="0" collapsed="false">
      <c r="A16" s="2" t="s">
        <v>121</v>
      </c>
      <c r="B16" s="3" t="s">
        <v>122</v>
      </c>
      <c r="C16" s="3" t="s">
        <v>123</v>
      </c>
      <c r="D16" s="3" t="s">
        <v>124</v>
      </c>
      <c r="E16" s="3" t="s">
        <v>125</v>
      </c>
      <c r="F16" s="5" t="s">
        <v>32</v>
      </c>
      <c r="G16" s="3" t="s">
        <v>126</v>
      </c>
      <c r="H16" s="3" t="s">
        <v>127</v>
      </c>
      <c r="I16" s="3" t="s">
        <v>33</v>
      </c>
      <c r="J16" s="3" t="s">
        <v>128</v>
      </c>
    </row>
    <row r="17" customFormat="false" ht="23.85" hidden="false" customHeight="false" outlineLevel="0" collapsed="false">
      <c r="A17" s="2" t="s">
        <v>129</v>
      </c>
      <c r="B17" s="3" t="s">
        <v>130</v>
      </c>
      <c r="C17" s="3" t="s">
        <v>131</v>
      </c>
      <c r="D17" s="3" t="s">
        <v>132</v>
      </c>
      <c r="E17" s="3" t="s">
        <v>133</v>
      </c>
      <c r="F17" s="4" t="s">
        <v>14</v>
      </c>
      <c r="G17" s="3" t="s">
        <v>87</v>
      </c>
      <c r="H17" s="3" t="s">
        <v>48</v>
      </c>
      <c r="I17" s="3" t="s">
        <v>134</v>
      </c>
      <c r="J17" s="3" t="s">
        <v>135</v>
      </c>
    </row>
    <row r="18" customFormat="false" ht="23.85" hidden="false" customHeight="false" outlineLevel="0" collapsed="false">
      <c r="A18" s="2" t="s">
        <v>136</v>
      </c>
      <c r="B18" s="3" t="s">
        <v>137</v>
      </c>
      <c r="C18" s="3" t="s">
        <v>138</v>
      </c>
      <c r="D18" s="3" t="s">
        <v>139</v>
      </c>
      <c r="E18" s="3" t="s">
        <v>140</v>
      </c>
      <c r="F18" s="4" t="s">
        <v>14</v>
      </c>
      <c r="G18" s="3" t="s">
        <v>104</v>
      </c>
      <c r="H18" s="3" t="s">
        <v>88</v>
      </c>
      <c r="I18" s="3" t="s">
        <v>141</v>
      </c>
      <c r="J18" s="3" t="s">
        <v>141</v>
      </c>
    </row>
    <row r="20" customFormat="false" ht="15" hidden="false" customHeight="false" outlineLevel="0" collapsed="false">
      <c r="A20" s="8" t="s">
        <v>142</v>
      </c>
    </row>
    <row r="21" customFormat="false" ht="15" hidden="false" customHeight="false" outlineLevel="0" collapsed="false">
      <c r="A21" s="8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5</v>
      </c>
      <c r="B1" s="9" t="s">
        <v>144</v>
      </c>
      <c r="C1" s="9" t="s">
        <v>145</v>
      </c>
    </row>
    <row r="2" customFormat="false" ht="15" hidden="false" customHeight="false" outlineLevel="0" collapsed="false">
      <c r="A2" s="10" t="s">
        <v>40</v>
      </c>
      <c r="B2" s="11" t="n">
        <f aca="false">COUNTIF('Gap analysis'!F2:F18,A2)</f>
        <v>3</v>
      </c>
      <c r="C2" s="11" t="s">
        <v>146</v>
      </c>
    </row>
    <row r="3" customFormat="false" ht="15" hidden="false" customHeight="false" outlineLevel="0" collapsed="false">
      <c r="A3" s="12" t="s">
        <v>14</v>
      </c>
      <c r="B3" s="11" t="n">
        <f aca="false">COUNTIF('Gap analysis'!F2:F18,A3)</f>
        <v>11</v>
      </c>
      <c r="C3" s="11" t="s">
        <v>147</v>
      </c>
    </row>
    <row r="4" customFormat="false" ht="15" hidden="false" customHeight="false" outlineLevel="0" collapsed="false">
      <c r="A4" s="13" t="s">
        <v>32</v>
      </c>
      <c r="B4" s="11" t="n">
        <f aca="false">COUNTIF('Gap analysis'!F2:F18,A4)</f>
        <v>2</v>
      </c>
      <c r="C4" s="11" t="s">
        <v>148</v>
      </c>
    </row>
    <row r="5" customFormat="false" ht="15" hidden="false" customHeight="false" outlineLevel="0" collapsed="false">
      <c r="A5" s="14" t="s">
        <v>79</v>
      </c>
      <c r="B5" s="11" t="n">
        <f aca="false">COUNTIF('Gap analysis'!F2:F18,A5)</f>
        <v>1</v>
      </c>
      <c r="C5" s="11" t="s">
        <v>149</v>
      </c>
    </row>
    <row r="6" customFormat="false" ht="15" hidden="false" customHeight="false" outlineLevel="0" collapsed="false">
      <c r="A6" s="15" t="s">
        <v>150</v>
      </c>
      <c r="B6" s="15" t="n">
        <f aca="false">SUM(B2:B5)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9" t="s">
        <v>151</v>
      </c>
      <c r="B1" s="9" t="s">
        <v>152</v>
      </c>
      <c r="C1" s="9" t="s">
        <v>153</v>
      </c>
      <c r="D1" s="9" t="s">
        <v>154</v>
      </c>
      <c r="E1" s="9" t="s">
        <v>155</v>
      </c>
    </row>
    <row r="2" customFormat="false" ht="15" hidden="false" customHeight="false" outlineLevel="0" collapsed="false">
      <c r="A2" s="2" t="s">
        <v>18</v>
      </c>
      <c r="B2" s="3" t="s">
        <v>156</v>
      </c>
      <c r="C2" s="5" t="s">
        <v>157</v>
      </c>
      <c r="D2" s="3" t="s">
        <v>158</v>
      </c>
      <c r="E2" s="3" t="str">
        <f aca="false">IF(D2="","No","Yes")</f>
        <v>Yes</v>
      </c>
    </row>
    <row r="3" customFormat="false" ht="23.85" hidden="false" customHeight="false" outlineLevel="0" collapsed="false">
      <c r="A3" s="2" t="s">
        <v>159</v>
      </c>
      <c r="B3" s="3" t="s">
        <v>160</v>
      </c>
      <c r="C3" s="5" t="s">
        <v>157</v>
      </c>
      <c r="D3" s="3" t="s">
        <v>35</v>
      </c>
      <c r="E3" s="3" t="str">
        <f aca="false">IF(D3="","No","Yes")</f>
        <v>Yes</v>
      </c>
    </row>
    <row r="4" customFormat="false" ht="15" hidden="false" customHeight="false" outlineLevel="0" collapsed="false">
      <c r="A4" s="2" t="s">
        <v>26</v>
      </c>
      <c r="B4" s="3" t="s">
        <v>161</v>
      </c>
      <c r="C4" s="4" t="s">
        <v>162</v>
      </c>
      <c r="D4" s="3" t="s">
        <v>19</v>
      </c>
      <c r="E4" s="3" t="str">
        <f aca="false">IF(D4="","No","Yes")</f>
        <v>Yes</v>
      </c>
    </row>
    <row r="5" customFormat="false" ht="15" hidden="false" customHeight="false" outlineLevel="0" collapsed="false">
      <c r="A5" s="2" t="s">
        <v>163</v>
      </c>
      <c r="B5" s="3" t="s">
        <v>164</v>
      </c>
      <c r="C5" s="4" t="s">
        <v>162</v>
      </c>
      <c r="D5" s="3" t="s">
        <v>35</v>
      </c>
      <c r="E5" s="3" t="str">
        <f aca="false">IF(D5="","No","Yes")</f>
        <v>Yes</v>
      </c>
    </row>
    <row r="6" customFormat="false" ht="15" hidden="false" customHeight="false" outlineLevel="0" collapsed="false">
      <c r="A6" s="2" t="s">
        <v>50</v>
      </c>
      <c r="B6" s="3" t="s">
        <v>165</v>
      </c>
      <c r="C6" s="4" t="s">
        <v>162</v>
      </c>
      <c r="D6" s="3" t="s">
        <v>166</v>
      </c>
      <c r="E6" s="3" t="str">
        <f aca="false">IF(D6="","No","Yes")</f>
        <v>Yes</v>
      </c>
    </row>
    <row r="7" customFormat="false" ht="15" hidden="false" customHeight="false" outlineLevel="0" collapsed="false">
      <c r="A7" s="2" t="s">
        <v>167</v>
      </c>
      <c r="B7" s="3" t="s">
        <v>168</v>
      </c>
      <c r="C7" s="5" t="s">
        <v>157</v>
      </c>
      <c r="D7" s="3" t="s">
        <v>121</v>
      </c>
      <c r="E7" s="3" t="str">
        <f aca="false">IF(D7="","No","Yes")</f>
        <v>Yes</v>
      </c>
    </row>
    <row r="8" customFormat="false" ht="15" hidden="false" customHeight="false" outlineLevel="0" collapsed="false">
      <c r="A8" s="2" t="s">
        <v>135</v>
      </c>
      <c r="B8" s="3" t="s">
        <v>169</v>
      </c>
      <c r="C8" s="4" t="s">
        <v>162</v>
      </c>
      <c r="D8" s="3" t="s">
        <v>129</v>
      </c>
      <c r="E8" s="3" t="str">
        <f aca="false">IF(D8="","No","Yes")</f>
        <v>Yes</v>
      </c>
    </row>
    <row r="9" customFormat="false" ht="15" hidden="false" customHeight="false" outlineLevel="0" collapsed="false">
      <c r="A9" s="2" t="s">
        <v>170</v>
      </c>
      <c r="B9" s="3" t="s">
        <v>171</v>
      </c>
      <c r="C9" s="5" t="s">
        <v>157</v>
      </c>
      <c r="D9" s="3" t="s">
        <v>82</v>
      </c>
      <c r="E9" s="3" t="str">
        <f aca="false">IF(D9="","No","Yes")</f>
        <v>Yes</v>
      </c>
    </row>
    <row r="10" customFormat="false" ht="15" hidden="false" customHeight="false" outlineLevel="0" collapsed="false">
      <c r="A10" s="2" t="s">
        <v>73</v>
      </c>
      <c r="B10" s="3" t="s">
        <v>172</v>
      </c>
      <c r="C10" s="4" t="s">
        <v>162</v>
      </c>
      <c r="D10" s="3" t="s">
        <v>173</v>
      </c>
      <c r="E10" s="3" t="str">
        <f aca="false">IF(D10="","No","Yes")</f>
        <v>Yes</v>
      </c>
    </row>
    <row r="11" customFormat="false" ht="15" hidden="false" customHeight="false" outlineLevel="0" collapsed="false">
      <c r="A11" s="2" t="s">
        <v>174</v>
      </c>
      <c r="B11" s="3" t="s">
        <v>175</v>
      </c>
      <c r="C11" s="5" t="s">
        <v>157</v>
      </c>
      <c r="D11" s="3" t="s">
        <v>176</v>
      </c>
      <c r="E11" s="3" t="str">
        <f aca="false">IF(D11="","No","Yes")</f>
        <v>Yes</v>
      </c>
    </row>
    <row r="12" customFormat="false" ht="15" hidden="false" customHeight="false" outlineLevel="0" collapsed="false">
      <c r="A12" s="2" t="s">
        <v>177</v>
      </c>
      <c r="B12" s="3" t="s">
        <v>178</v>
      </c>
      <c r="C12" s="5" t="s">
        <v>157</v>
      </c>
      <c r="D12" s="3" t="s">
        <v>82</v>
      </c>
      <c r="E12" s="3" t="str">
        <f aca="false">IF(D12="","No","Yes")</f>
        <v>Yes</v>
      </c>
    </row>
    <row r="13" customFormat="false" ht="15" hidden="false" customHeight="false" outlineLevel="0" collapsed="false">
      <c r="A13" s="2" t="s">
        <v>179</v>
      </c>
      <c r="B13" s="3" t="s">
        <v>180</v>
      </c>
      <c r="C13" s="4" t="s">
        <v>162</v>
      </c>
      <c r="D13" s="3" t="s">
        <v>74</v>
      </c>
      <c r="E13" s="3" t="str">
        <f aca="false">IF(D13="","No","Yes")</f>
        <v>Yes</v>
      </c>
    </row>
    <row r="14" customFormat="false" ht="15" hidden="false" customHeight="false" outlineLevel="0" collapsed="false">
      <c r="A14" s="2" t="s">
        <v>181</v>
      </c>
      <c r="B14" s="3" t="s">
        <v>182</v>
      </c>
      <c r="C14" s="4" t="s">
        <v>162</v>
      </c>
      <c r="D14" s="3" t="s">
        <v>90</v>
      </c>
      <c r="E14" s="3" t="str">
        <f aca="false">IF(D14="","No","Yes")</f>
        <v>Yes</v>
      </c>
    </row>
    <row r="15" customFormat="false" ht="15" hidden="false" customHeight="false" outlineLevel="0" collapsed="false">
      <c r="A15" s="2" t="s">
        <v>183</v>
      </c>
      <c r="B15" s="3" t="s">
        <v>184</v>
      </c>
      <c r="C15" s="5" t="s">
        <v>157</v>
      </c>
      <c r="D15" s="3" t="s">
        <v>90</v>
      </c>
      <c r="E15" s="3" t="str">
        <f aca="false">IF(D15="","No","Yes")</f>
        <v>Yes</v>
      </c>
    </row>
    <row r="16" customFormat="false" ht="15" hidden="false" customHeight="false" outlineLevel="0" collapsed="false">
      <c r="A16" s="2" t="s">
        <v>185</v>
      </c>
      <c r="B16" s="3" t="s">
        <v>186</v>
      </c>
      <c r="C16" s="4" t="s">
        <v>162</v>
      </c>
      <c r="D16" s="3" t="s">
        <v>90</v>
      </c>
      <c r="E16" s="3" t="str">
        <f aca="false">IF(D16="","No","Yes")</f>
        <v>Yes</v>
      </c>
    </row>
    <row r="17" customFormat="false" ht="15" hidden="false" customHeight="false" outlineLevel="0" collapsed="false">
      <c r="A17" s="2" t="s">
        <v>105</v>
      </c>
      <c r="B17" s="3" t="s">
        <v>187</v>
      </c>
      <c r="C17" s="5" t="s">
        <v>157</v>
      </c>
      <c r="D17" s="3" t="s">
        <v>99</v>
      </c>
      <c r="E17" s="3" t="str">
        <f aca="false">IF(D17="","No","Yes")</f>
        <v>Yes</v>
      </c>
    </row>
    <row r="18" customFormat="false" ht="15" hidden="false" customHeight="false" outlineLevel="0" collapsed="false">
      <c r="A18" s="2" t="s">
        <v>112</v>
      </c>
      <c r="B18" s="3" t="s">
        <v>188</v>
      </c>
      <c r="C18" s="5" t="s">
        <v>157</v>
      </c>
      <c r="D18" s="3" t="s">
        <v>106</v>
      </c>
      <c r="E18" s="3" t="str">
        <f aca="false">IF(D18="","No","Yes")</f>
        <v>Yes</v>
      </c>
    </row>
    <row r="19" customFormat="false" ht="15" hidden="false" customHeight="false" outlineLevel="0" collapsed="false">
      <c r="A19" s="2" t="s">
        <v>141</v>
      </c>
      <c r="B19" s="3" t="s">
        <v>189</v>
      </c>
      <c r="C19" s="4" t="s">
        <v>162</v>
      </c>
      <c r="D19" s="3" t="s">
        <v>136</v>
      </c>
      <c r="E19" s="3" t="str">
        <f aca="false">IF(D19="","No","Yes")</f>
        <v>Yes</v>
      </c>
    </row>
    <row r="21" customFormat="false" ht="15" hidden="false" customHeight="false" outlineLevel="0" collapsed="false">
      <c r="A21" s="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2026-09-26T20:58:32Z</dcterms:created>
  <dc:creator>openpyxl</dc:creator>
  <dc:description/>
  <dc:language>en-US</dc:language>
  <cp:lastModifiedBy/>
  <dcterms:modified xsi:type="dcterms:W3CDTF">2026-09-26T20:58:32Z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