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" sheetId="1" state="visible" r:id="rId3"/>
    <sheet name="Pain point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<sst xmlns="http://schemas.openxmlformats.org/spreadsheetml/2006/main" count="278" uniqueCount="168">
  <si>
    <t xml:space="preserve">Pain point</t>
  </si>
  <si>
    <t xml:space="preserve">Gap</t>
  </si>
  <si>
    <t xml:space="preserve">Business requirement</t>
  </si>
  <si>
    <t xml:space="preserve">Requirement ID</t>
  </si>
  <si>
    <t xml:space="preserve">Requirement (short)</t>
  </si>
  <si>
    <t xml:space="preserve">User story</t>
  </si>
  <si>
    <t xml:space="preserve">Test case</t>
  </si>
  <si>
    <t xml:space="preserve">Why present?</t>
  </si>
  <si>
    <t xml:space="preserve">Test type</t>
  </si>
  <si>
    <t xml:space="preserve">PP-04</t>
  </si>
  <si>
    <t xml:space="preserve">G01</t>
  </si>
  <si>
    <t xml:space="preserve">BR-01</t>
  </si>
  <si>
    <t xml:space="preserve">FR-01</t>
  </si>
  <si>
    <t xml:space="preserve">Provide a digital application form (web and mobile) capturing personal, employment, income and loan details, with a staff-assisted mode for branch walk-ins.</t>
  </si>
  <si>
    <t xml:space="preserve">—</t>
  </si>
  <si>
    <t xml:space="preserve">System test</t>
  </si>
  <si>
    <t xml:space="preserve">G01, G05</t>
  </si>
  <si>
    <t xml:space="preserve">BR-01, BR-04</t>
  </si>
  <si>
    <t xml:space="preserve">FR-02</t>
  </si>
  <si>
    <t xml:space="preserve">Pre-fill identity details from the CKYC registry or Aadhaar e-KYC after the customer gives consent.</t>
  </si>
  <si>
    <t xml:space="preserve">PP-01</t>
  </si>
  <si>
    <t xml:space="preserve">G02</t>
  </si>
  <si>
    <t xml:space="preserve">BR-02</t>
  </si>
  <si>
    <t xml:space="preserve">FR-03</t>
  </si>
  <si>
    <t xml:space="preserve">Show the mandatory document checklist for the applicant's type (salaried or self-employed).</t>
  </si>
  <si>
    <t xml:space="preserve">US-01</t>
  </si>
  <si>
    <t xml:space="preserve">TC-01</t>
  </si>
  <si>
    <t xml:space="preserve">FR-04</t>
  </si>
  <si>
    <t xml:space="preserve">Not allow an application to be submitted until every mandatory document on the checklist is uploaded.</t>
  </si>
  <si>
    <t xml:space="preserve">US-02</t>
  </si>
  <si>
    <t xml:space="preserve">TC-02, TC-03</t>
  </si>
  <si>
    <t xml:space="preserve">FR-05</t>
  </si>
  <si>
    <t xml:space="preserve">Reject unreadable, password-protected or wrong-type files at upload and tell the customer why.</t>
  </si>
  <si>
    <t xml:space="preserve">BR-04</t>
  </si>
  <si>
    <t xml:space="preserve">FR-06</t>
  </si>
  <si>
    <t xml:space="preserve">Record the customer's explicit consent for the credit bureau check, KYC and data use, with date and time.</t>
  </si>
  <si>
    <t xml:space="preserve">G04</t>
  </si>
  <si>
    <t xml:space="preserve">BR-03</t>
  </si>
  <si>
    <t xml:space="preserve">FR-07</t>
  </si>
  <si>
    <t xml:space="preserve">Send the customer one request listing every item, with a secure upload link.</t>
  </si>
  <si>
    <t xml:space="preserve">US-03</t>
  </si>
  <si>
    <t xml:space="preserve">TC-04, TC-05</t>
  </si>
  <si>
    <t xml:space="preserve">FR-08</t>
  </si>
  <si>
    <t xml:space="preserve">Mark an application as lapsed and notify the customer if no response is received within 7 days of a missing-item request.</t>
  </si>
  <si>
    <t xml:space="preserve">G05</t>
  </si>
  <si>
    <t xml:space="preserve">FR-09</t>
  </si>
  <si>
    <t xml:space="preserve">Verify identity automatically through the CKYC registry or e-KYC, and route the application to video KYC or manual review when no match is found.</t>
  </si>
  <si>
    <t xml:space="preserve">US-04</t>
  </si>
  <si>
    <t xml:space="preserve">TC-06, TC-07</t>
  </si>
  <si>
    <t xml:space="preserve">FR-10</t>
  </si>
  <si>
    <t xml:space="preserve">Validate the PAN and check that name and date of birth match across the PAN, KYC record and application.</t>
  </si>
  <si>
    <t xml:space="preserve">PP-05</t>
  </si>
  <si>
    <t xml:space="preserve">G06</t>
  </si>
  <si>
    <t xml:space="preserve">FR-11</t>
  </si>
  <si>
    <t xml:space="preserve">Pull the credit bureau report at submission and store it with the application.</t>
  </si>
  <si>
    <t xml:space="preserve">PP-06</t>
  </si>
  <si>
    <t xml:space="preserve">G07</t>
  </si>
  <si>
    <t xml:space="preserve">FR-12</t>
  </si>
  <si>
    <t xml:space="preserve">Verify the applicant's employment electronically, without staff contacting the employer by email or phone (for example, official-email OTP or an employer database).</t>
  </si>
  <si>
    <t xml:space="preserve">PP-07</t>
  </si>
  <si>
    <t xml:space="preserve">G10, G16</t>
  </si>
  <si>
    <t xml:space="preserve">BR-04, BR-06</t>
  </si>
  <si>
    <t xml:space="preserve">FR-13</t>
  </si>
  <si>
    <t xml:space="preserve">Screen every applicant against negative and AML lists and send any hit to the Risk &amp; Compliance queue.</t>
  </si>
  <si>
    <t xml:space="preserve">PP-04, PP-08</t>
  </si>
  <si>
    <t xml:space="preserve">G08</t>
  </si>
  <si>
    <t xml:space="preserve">BR-05</t>
  </si>
  <si>
    <t xml:space="preserve">FR-14</t>
  </si>
  <si>
    <t xml:space="preserve">Calculate net monthly income and the debt-to-income ratio from bureau and bank-statement data.</t>
  </si>
  <si>
    <t xml:space="preserve">US-05</t>
  </si>
  <si>
    <t xml:space="preserve">TC-08, TC-09</t>
  </si>
  <si>
    <t xml:space="preserve">G09</t>
  </si>
  <si>
    <t xml:space="preserve">FR-15</t>
  </si>
  <si>
    <t xml:space="preserve">Apply configurable credit-policy rules and give each application an outcome of auto-approve, auto-decline or refer, recording the reasons.</t>
  </si>
  <si>
    <t xml:space="preserve">FR-16</t>
  </si>
  <si>
    <t xml:space="preserve">Place referred applications in the underwriting queue with the referral reasons displayed.</t>
  </si>
  <si>
    <t xml:space="preserve">G10</t>
  </si>
  <si>
    <t xml:space="preserve">BR-06</t>
  </si>
  <si>
    <t xml:space="preserve">FR-17</t>
  </si>
  <si>
    <t xml:space="preserve">Route deviation requests to an approver with the required authority and record the approver, decision and time.</t>
  </si>
  <si>
    <t xml:space="preserve">US-06</t>
  </si>
  <si>
    <t xml:space="preserve">TC-10</t>
  </si>
  <si>
    <t xml:space="preserve">FR-18</t>
  </si>
  <si>
    <t xml:space="preserve">Show a time-limit (SLA) timer on every queue item and escalate items that breach it.</t>
  </si>
  <si>
    <t xml:space="preserve">PP-10</t>
  </si>
  <si>
    <t xml:space="preserve">G14</t>
  </si>
  <si>
    <t xml:space="preserve">FR-19</t>
  </si>
  <si>
    <t xml:space="preserve">Notify the customer and branch by SMS or email at each status change.</t>
  </si>
  <si>
    <t xml:space="preserve">PP-02, PP-03</t>
  </si>
  <si>
    <t xml:space="preserve">G11</t>
  </si>
  <si>
    <t xml:space="preserve">BR-07</t>
  </si>
  <si>
    <t xml:space="preserve">FR-20</t>
  </si>
  <si>
    <t xml:space="preserve">Generate the sanction letter and Key Fact Statement and require the customer to view the KFS before accepting.</t>
  </si>
  <si>
    <t xml:space="preserve">US-07</t>
  </si>
  <si>
    <t xml:space="preserve">TC-11, TC-12</t>
  </si>
  <si>
    <t xml:space="preserve">FR-21</t>
  </si>
  <si>
    <t xml:space="preserve">Let the customer accept the offer, sign the agreement electronically (for example, Aadhaar OTP e-sign) and register a repayment e-mandate in one session.</t>
  </si>
  <si>
    <t xml:space="preserve">PP-02, PP-03, PP-09</t>
  </si>
  <si>
    <t xml:space="preserve">G11, G17</t>
  </si>
  <si>
    <t xml:space="preserve">FR-22</t>
  </si>
  <si>
    <t xml:space="preserve">Send copies of all signed documents and the welcome pack to the customer automatically, and archive the complete file.</t>
  </si>
  <si>
    <t xml:space="preserve">PP-09</t>
  </si>
  <si>
    <t xml:space="preserve">G12</t>
  </si>
  <si>
    <t xml:space="preserve">FR-23</t>
  </si>
  <si>
    <t xml:space="preserve">Compile a compliance evidence checklist as the process runs and block disbursal until every mandatory item is present.</t>
  </si>
  <si>
    <t xml:space="preserve">US-08</t>
  </si>
  <si>
    <t xml:space="preserve">TC-13</t>
  </si>
  <si>
    <t xml:space="preserve">G13</t>
  </si>
  <si>
    <t xml:space="preserve">BR-08</t>
  </si>
  <si>
    <t xml:space="preserve">FR-24</t>
  </si>
  <si>
    <t xml:space="preserve">Create the loan account in the core banking system through an integration and disburse only to the borrower's own verified account.</t>
  </si>
  <si>
    <t xml:space="preserve">PP-02, PP-03, PP-04</t>
  </si>
  <si>
    <t xml:space="preserve">G01, G11</t>
  </si>
  <si>
    <t xml:space="preserve">BR-01, BR-07</t>
  </si>
  <si>
    <t xml:space="preserve">NFR-01</t>
  </si>
  <si>
    <t xml:space="preserve">Availability: The customer application journey shall be available 99.5% of the time each month.</t>
  </si>
  <si>
    <t xml:space="preserve">Non-functional test</t>
  </si>
  <si>
    <t xml:space="preserve">Performance / security test</t>
  </si>
  <si>
    <t xml:space="preserve">PP-04, PP-05, PP-06, PP-07, PP-08</t>
  </si>
  <si>
    <t xml:space="preserve">G05, G06, G07, G08, G16</t>
  </si>
  <si>
    <t xml:space="preserve">BR-04, BR-05</t>
  </si>
  <si>
    <t xml:space="preserve">NFR-02</t>
  </si>
  <si>
    <t xml:space="preserve">Performance: Automated checks (N4, N5, N7) shall complete within 2 minutes for 95% of applications.</t>
  </si>
  <si>
    <t xml:space="preserve">PP-04, PP-07, PP-09</t>
  </si>
  <si>
    <t xml:space="preserve">G09, G10, G12</t>
  </si>
  <si>
    <t xml:space="preserve">BR-05, BR-06</t>
  </si>
  <si>
    <t xml:space="preserve">NFR-03</t>
  </si>
  <si>
    <t xml:space="preserve">Audit trail: Every decision, override, approval and data change shall be logged with user, date and time, and kept for the period required by regulation.</t>
  </si>
  <si>
    <t xml:space="preserve">NFR-04</t>
  </si>
  <si>
    <t xml:space="preserve">Data privacy: Customer data shall be collected only with explicit consent, encrypted in transit and at rest, and the app shall not access phone contacts, call logs or media (S02).</t>
  </si>
  <si>
    <t xml:space="preserve">NFR-05</t>
  </si>
  <si>
    <t xml:space="preserve">Usability: The journey shall work on a mobile phone and be available in English and Hindi.</t>
  </si>
  <si>
    <t xml:space="preserve">PP-01, PP-08</t>
  </si>
  <si>
    <t xml:space="preserve">G03, G15</t>
  </si>
  <si>
    <t xml:space="preserve">BR-09</t>
  </si>
  <si>
    <t xml:space="preserve">— (people change)</t>
  </si>
  <si>
    <t xml:space="preserve">Update roles, procedures and training</t>
  </si>
  <si>
    <t xml:space="preserve">Change plan (not a system test)</t>
  </si>
  <si>
    <t xml:space="preserve">Check</t>
  </si>
  <si>
    <t xml:space="preserve">Requirements with an empty 'why':</t>
  </si>
  <si>
    <t xml:space="preserve">Requirements traced:</t>
  </si>
  <si>
    <t xml:space="preserve">Read left to right: every requirement has a reason (pain point → gap → business requirement) and a check (user story → test case). 'Why present?' says Yes when the pain point and gap are filled.</t>
  </si>
  <si>
    <t xml:space="preserve">Test case column (yellow): filled in Step 18 from uat_test_cases.xlsx.</t>
  </si>
  <si>
    <t xml:space="preserve">Functional requirements without a user story are tested in system and integration testing; non-functional requirements in performance and security testing.</t>
  </si>
  <si>
    <t xml:space="preserve">Severity</t>
  </si>
  <si>
    <t xml:space="preserve">Solved by (gaps)</t>
  </si>
  <si>
    <t xml:space="preserve">Requirements</t>
  </si>
  <si>
    <t xml:space="preserve">Covered?</t>
  </si>
  <si>
    <t xml:space="preserve">Reason if not covered</t>
  </si>
  <si>
    <t xml:space="preserve">High</t>
  </si>
  <si>
    <t xml:space="preserve">G02, G03, G04, G15</t>
  </si>
  <si>
    <t xml:space="preserve">BR-09, FR-03, FR-04, FR-05, FR-07, FR-08</t>
  </si>
  <si>
    <t xml:space="preserve">PP-02</t>
  </si>
  <si>
    <t xml:space="preserve">FR-20, FR-21, FR-22, NFR-01, NFR-05</t>
  </si>
  <si>
    <t xml:space="preserve">PP-03</t>
  </si>
  <si>
    <t xml:space="preserve">Medium</t>
  </si>
  <si>
    <t xml:space="preserve">G01, G05, G08, G09, G13</t>
  </si>
  <si>
    <t xml:space="preserve">FR-01, FR-02, FR-06, FR-09, FR-10, FR-14, FR-15, FR-16, FR-24, NFR-01, NFR-02, NFR-03, NFR-04, NFR-05</t>
  </si>
  <si>
    <t xml:space="preserve">FR-11, NFR-02</t>
  </si>
  <si>
    <t xml:space="preserve">FR-12, NFR-02</t>
  </si>
  <si>
    <t xml:space="preserve">FR-13, FR-17, FR-18, NFR-02, NFR-03</t>
  </si>
  <si>
    <t xml:space="preserve">G12, G17</t>
  </si>
  <si>
    <t xml:space="preserve">FR-22, FR-23, NFR-03</t>
  </si>
  <si>
    <t xml:space="preserve">PP-08</t>
  </si>
  <si>
    <t xml:space="preserve">Low</t>
  </si>
  <si>
    <t xml:space="preserve">G08, G15</t>
  </si>
  <si>
    <t xml:space="preserve">BR-09, FR-14, NFR-02</t>
  </si>
  <si>
    <t xml:space="preserve">Every pain point in pain_point_log.xlsx is solved by at least one requirement, so no 'reason why not' is needed.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</si>
</sst>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6B56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56"/>
      <rgbColor rgb="FFA6B2A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tr">
        <f aca="false">IF(AND(A2&lt;&gt;"",B2&lt;&gt;""),"Yes","MISSING")</f>
        <v>Yes</v>
      </c>
      <c r="I2" s="2" t="str">
        <f aca="false">IF(F2="—","System / integration test","UAT")</f>
        <v>System / integration test</v>
      </c>
    </row>
    <row r="3" customFormat="false" ht="23.85" hidden="false" customHeight="false" outlineLevel="0" collapsed="false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14</v>
      </c>
      <c r="G3" s="3" t="s">
        <v>15</v>
      </c>
      <c r="H3" s="2" t="str">
        <f aca="false">IF(AND(A3&lt;&gt;"",B3&lt;&gt;""),"Yes","MISSING")</f>
        <v>Yes</v>
      </c>
      <c r="I3" s="2" t="str">
        <f aca="false">IF(F3="—","System / integration test","UAT")</f>
        <v>System / integration test</v>
      </c>
    </row>
    <row r="4" customFormat="false" ht="23.8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26</v>
      </c>
      <c r="H4" s="2" t="str">
        <f aca="false">IF(AND(A4&lt;&gt;"",B4&lt;&gt;""),"Yes","MISSING")</f>
        <v>Yes</v>
      </c>
      <c r="I4" s="2" t="str">
        <f aca="false">IF(F4="—","System / integration test","UAT")</f>
        <v>UAT</v>
      </c>
    </row>
    <row r="5" customFormat="false" ht="23.8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27</v>
      </c>
      <c r="E5" s="2" t="s">
        <v>28</v>
      </c>
      <c r="F5" s="2" t="s">
        <v>29</v>
      </c>
      <c r="G5" s="3" t="s">
        <v>30</v>
      </c>
      <c r="H5" s="2" t="str">
        <f aca="false">IF(AND(A5&lt;&gt;"",B5&lt;&gt;""),"Yes","MISSING")</f>
        <v>Yes</v>
      </c>
      <c r="I5" s="2" t="str">
        <f aca="false">IF(F5="—","System / integration test","UAT")</f>
        <v>UAT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31</v>
      </c>
      <c r="E6" s="2" t="s">
        <v>32</v>
      </c>
      <c r="F6" s="2" t="s">
        <v>29</v>
      </c>
      <c r="G6" s="3" t="s">
        <v>30</v>
      </c>
      <c r="H6" s="2" t="str">
        <f aca="false">IF(AND(A6&lt;&gt;"",B6&lt;&gt;""),"Yes","MISSING")</f>
        <v>Yes</v>
      </c>
      <c r="I6" s="2" t="str">
        <f aca="false">IF(F6="—","System / integration test","UAT")</f>
        <v>UAT</v>
      </c>
    </row>
    <row r="7" customFormat="false" ht="23.85" hidden="false" customHeight="false" outlineLevel="0" collapsed="false">
      <c r="A7" s="2" t="s">
        <v>9</v>
      </c>
      <c r="B7" s="2" t="s">
        <v>10</v>
      </c>
      <c r="C7" s="2" t="s">
        <v>33</v>
      </c>
      <c r="D7" s="2" t="s">
        <v>34</v>
      </c>
      <c r="E7" s="2" t="s">
        <v>35</v>
      </c>
      <c r="F7" s="2" t="s">
        <v>14</v>
      </c>
      <c r="G7" s="3" t="s">
        <v>15</v>
      </c>
      <c r="H7" s="2" t="str">
        <f aca="false">IF(AND(A7&lt;&gt;"",B7&lt;&gt;""),"Yes","MISSING")</f>
        <v>Yes</v>
      </c>
      <c r="I7" s="2" t="str">
        <f aca="false">IF(F7="—","System / integration test","UAT")</f>
        <v>System / integration test</v>
      </c>
    </row>
    <row r="8" customFormat="false" ht="23.85" hidden="false" customHeight="false" outlineLevel="0" collapsed="false">
      <c r="A8" s="2" t="s">
        <v>20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 t="s">
        <v>41</v>
      </c>
      <c r="H8" s="2" t="str">
        <f aca="false">IF(AND(A8&lt;&gt;"",B8&lt;&gt;""),"Yes","MISSING")</f>
        <v>Yes</v>
      </c>
      <c r="I8" s="2" t="str">
        <f aca="false">IF(F8="—","System / integration test","UAT")</f>
        <v>UAT</v>
      </c>
    </row>
    <row r="9" customFormat="false" ht="23.85" hidden="false" customHeight="false" outlineLevel="0" collapsed="false">
      <c r="A9" s="2" t="s">
        <v>20</v>
      </c>
      <c r="B9" s="2" t="s">
        <v>36</v>
      </c>
      <c r="C9" s="2" t="s">
        <v>37</v>
      </c>
      <c r="D9" s="2" t="s">
        <v>42</v>
      </c>
      <c r="E9" s="2" t="s">
        <v>43</v>
      </c>
      <c r="F9" s="2" t="s">
        <v>40</v>
      </c>
      <c r="G9" s="3" t="s">
        <v>41</v>
      </c>
      <c r="H9" s="2" t="str">
        <f aca="false">IF(AND(A9&lt;&gt;"",B9&lt;&gt;""),"Yes","MISSING")</f>
        <v>Yes</v>
      </c>
      <c r="I9" s="2" t="str">
        <f aca="false">IF(F9="—","System / integration test","UAT")</f>
        <v>UAT</v>
      </c>
    </row>
    <row r="10" customFormat="false" ht="35.05" hidden="false" customHeight="false" outlineLevel="0" collapsed="false">
      <c r="A10" s="2" t="s">
        <v>9</v>
      </c>
      <c r="B10" s="2" t="s">
        <v>44</v>
      </c>
      <c r="C10" s="2" t="s">
        <v>33</v>
      </c>
      <c r="D10" s="2" t="s">
        <v>45</v>
      </c>
      <c r="E10" s="2" t="s">
        <v>46</v>
      </c>
      <c r="F10" s="2" t="s">
        <v>47</v>
      </c>
      <c r="G10" s="3" t="s">
        <v>48</v>
      </c>
      <c r="H10" s="2" t="str">
        <f aca="false">IF(AND(A10&lt;&gt;"",B10&lt;&gt;""),"Yes","MISSING")</f>
        <v>Yes</v>
      </c>
      <c r="I10" s="2" t="str">
        <f aca="false">IF(F10="—","System / integration test","UAT")</f>
        <v>UAT</v>
      </c>
    </row>
    <row r="11" customFormat="false" ht="23.85" hidden="false" customHeight="false" outlineLevel="0" collapsed="false">
      <c r="A11" s="2" t="s">
        <v>9</v>
      </c>
      <c r="B11" s="2" t="s">
        <v>44</v>
      </c>
      <c r="C11" s="2" t="s">
        <v>33</v>
      </c>
      <c r="D11" s="2" t="s">
        <v>49</v>
      </c>
      <c r="E11" s="2" t="s">
        <v>50</v>
      </c>
      <c r="F11" s="2" t="s">
        <v>47</v>
      </c>
      <c r="G11" s="3" t="s">
        <v>48</v>
      </c>
      <c r="H11" s="2" t="str">
        <f aca="false">IF(AND(A11&lt;&gt;"",B11&lt;&gt;""),"Yes","MISSING")</f>
        <v>Yes</v>
      </c>
      <c r="I11" s="2" t="str">
        <f aca="false">IF(F11="—","System / integration test","UAT")</f>
        <v>UAT</v>
      </c>
    </row>
    <row r="12" customFormat="false" ht="23.85" hidden="false" customHeight="false" outlineLevel="0" collapsed="false">
      <c r="A12" s="2" t="s">
        <v>51</v>
      </c>
      <c r="B12" s="2" t="s">
        <v>52</v>
      </c>
      <c r="C12" s="2" t="s">
        <v>33</v>
      </c>
      <c r="D12" s="2" t="s">
        <v>53</v>
      </c>
      <c r="E12" s="2" t="s">
        <v>54</v>
      </c>
      <c r="F12" s="2" t="s">
        <v>14</v>
      </c>
      <c r="G12" s="3" t="s">
        <v>15</v>
      </c>
      <c r="H12" s="2" t="str">
        <f aca="false">IF(AND(A12&lt;&gt;"",B12&lt;&gt;""),"Yes","MISSING")</f>
        <v>Yes</v>
      </c>
      <c r="I12" s="2" t="str">
        <f aca="false">IF(F12="—","System / integration test","UAT")</f>
        <v>System / integration test</v>
      </c>
    </row>
    <row r="13" customFormat="false" ht="35.05" hidden="false" customHeight="false" outlineLevel="0" collapsed="false">
      <c r="A13" s="2" t="s">
        <v>55</v>
      </c>
      <c r="B13" s="2" t="s">
        <v>56</v>
      </c>
      <c r="C13" s="2" t="s">
        <v>33</v>
      </c>
      <c r="D13" s="2" t="s">
        <v>57</v>
      </c>
      <c r="E13" s="2" t="s">
        <v>58</v>
      </c>
      <c r="F13" s="2" t="s">
        <v>14</v>
      </c>
      <c r="G13" s="3" t="s">
        <v>15</v>
      </c>
      <c r="H13" s="2" t="str">
        <f aca="false">IF(AND(A13&lt;&gt;"",B13&lt;&gt;""),"Yes","MISSING")</f>
        <v>Yes</v>
      </c>
      <c r="I13" s="2" t="str">
        <f aca="false">IF(F13="—","System / integration test","UAT")</f>
        <v>System / integration test</v>
      </c>
    </row>
    <row r="14" customFormat="false" ht="23.85" hidden="false" customHeight="false" outlineLevel="0" collapsed="false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14</v>
      </c>
      <c r="G14" s="3" t="s">
        <v>15</v>
      </c>
      <c r="H14" s="2" t="str">
        <f aca="false">IF(AND(A14&lt;&gt;"",B14&lt;&gt;""),"Yes","MISSING")</f>
        <v>Yes</v>
      </c>
      <c r="I14" s="2" t="str">
        <f aca="false">IF(F14="—","System / integration test","UAT")</f>
        <v>System / integration test</v>
      </c>
    </row>
    <row r="15" customFormat="false" ht="23.8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3" t="s">
        <v>70</v>
      </c>
      <c r="H15" s="2" t="str">
        <f aca="false">IF(AND(A15&lt;&gt;"",B15&lt;&gt;""),"Yes","MISSING")</f>
        <v>Yes</v>
      </c>
      <c r="I15" s="2" t="str">
        <f aca="false">IF(F15="—","System / integration test","UAT")</f>
        <v>UAT</v>
      </c>
    </row>
    <row r="16" customFormat="false" ht="35.05" hidden="false" customHeight="false" outlineLevel="0" collapsed="false">
      <c r="A16" s="2" t="s">
        <v>9</v>
      </c>
      <c r="B16" s="2" t="s">
        <v>71</v>
      </c>
      <c r="C16" s="2" t="s">
        <v>66</v>
      </c>
      <c r="D16" s="2" t="s">
        <v>72</v>
      </c>
      <c r="E16" s="2" t="s">
        <v>73</v>
      </c>
      <c r="F16" s="2" t="s">
        <v>69</v>
      </c>
      <c r="G16" s="3" t="s">
        <v>70</v>
      </c>
      <c r="H16" s="2" t="str">
        <f aca="false">IF(AND(A16&lt;&gt;"",B16&lt;&gt;""),"Yes","MISSING")</f>
        <v>Yes</v>
      </c>
      <c r="I16" s="2" t="str">
        <f aca="false">IF(F16="—","System / integration test","UAT")</f>
        <v>UAT</v>
      </c>
    </row>
    <row r="17" customFormat="false" ht="23.85" hidden="false" customHeight="false" outlineLevel="0" collapsed="false">
      <c r="A17" s="2" t="s">
        <v>9</v>
      </c>
      <c r="B17" s="2" t="s">
        <v>71</v>
      </c>
      <c r="C17" s="2" t="s">
        <v>66</v>
      </c>
      <c r="D17" s="2" t="s">
        <v>74</v>
      </c>
      <c r="E17" s="2" t="s">
        <v>75</v>
      </c>
      <c r="F17" s="2" t="s">
        <v>69</v>
      </c>
      <c r="G17" s="3" t="s">
        <v>70</v>
      </c>
      <c r="H17" s="2" t="str">
        <f aca="false">IF(AND(A17&lt;&gt;"",B17&lt;&gt;""),"Yes","MISSING")</f>
        <v>Yes</v>
      </c>
      <c r="I17" s="2" t="str">
        <f aca="false">IF(F17="—","System / integration test","UAT")</f>
        <v>UAT</v>
      </c>
    </row>
    <row r="18" customFormat="false" ht="23.85" hidden="false" customHeight="false" outlineLevel="0" collapsed="false">
      <c r="A18" s="2" t="s">
        <v>59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80</v>
      </c>
      <c r="G18" s="3" t="s">
        <v>81</v>
      </c>
      <c r="H18" s="2" t="str">
        <f aca="false">IF(AND(A18&lt;&gt;"",B18&lt;&gt;""),"Yes","MISSING")</f>
        <v>Yes</v>
      </c>
      <c r="I18" s="2" t="str">
        <f aca="false">IF(F18="—","System / integration test","UAT")</f>
        <v>UAT</v>
      </c>
    </row>
    <row r="19" customFormat="false" ht="23.85" hidden="false" customHeight="false" outlineLevel="0" collapsed="false">
      <c r="A19" s="2" t="s">
        <v>59</v>
      </c>
      <c r="B19" s="2" t="s">
        <v>76</v>
      </c>
      <c r="C19" s="2" t="s">
        <v>77</v>
      </c>
      <c r="D19" s="2" t="s">
        <v>82</v>
      </c>
      <c r="E19" s="2" t="s">
        <v>83</v>
      </c>
      <c r="F19" s="2" t="s">
        <v>80</v>
      </c>
      <c r="G19" s="3" t="s">
        <v>81</v>
      </c>
      <c r="H19" s="2" t="str">
        <f aca="false">IF(AND(A19&lt;&gt;"",B19&lt;&gt;""),"Yes","MISSING")</f>
        <v>Yes</v>
      </c>
      <c r="I19" s="2" t="str">
        <f aca="false">IF(F19="—","System / integration test","UAT")</f>
        <v>UAT</v>
      </c>
    </row>
    <row r="20" customFormat="false" ht="23.85" hidden="false" customHeight="false" outlineLevel="0" collapsed="false">
      <c r="A20" s="2" t="s">
        <v>84</v>
      </c>
      <c r="B20" s="2" t="s">
        <v>85</v>
      </c>
      <c r="C20" s="2" t="s">
        <v>77</v>
      </c>
      <c r="D20" s="2" t="s">
        <v>86</v>
      </c>
      <c r="E20" s="2" t="s">
        <v>87</v>
      </c>
      <c r="F20" s="2" t="s">
        <v>14</v>
      </c>
      <c r="G20" s="3" t="s">
        <v>15</v>
      </c>
      <c r="H20" s="2" t="str">
        <f aca="false">IF(AND(A20&lt;&gt;"",B20&lt;&gt;""),"Yes","MISSING")</f>
        <v>Yes</v>
      </c>
      <c r="I20" s="2" t="str">
        <f aca="false">IF(F20="—","System / integration test","UAT")</f>
        <v>System / integration test</v>
      </c>
    </row>
    <row r="21" customFormat="false" ht="23.85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93</v>
      </c>
      <c r="G21" s="3" t="s">
        <v>94</v>
      </c>
      <c r="H21" s="2" t="str">
        <f aca="false">IF(AND(A21&lt;&gt;"",B21&lt;&gt;""),"Yes","MISSING")</f>
        <v>Yes</v>
      </c>
      <c r="I21" s="2" t="str">
        <f aca="false">IF(F21="—","System / integration test","UAT")</f>
        <v>UAT</v>
      </c>
    </row>
    <row r="22" customFormat="false" ht="35.05" hidden="false" customHeight="false" outlineLevel="0" collapsed="false">
      <c r="A22" s="2" t="s">
        <v>88</v>
      </c>
      <c r="B22" s="2" t="s">
        <v>89</v>
      </c>
      <c r="C22" s="2" t="s">
        <v>90</v>
      </c>
      <c r="D22" s="2" t="s">
        <v>95</v>
      </c>
      <c r="E22" s="2" t="s">
        <v>96</v>
      </c>
      <c r="F22" s="2" t="s">
        <v>93</v>
      </c>
      <c r="G22" s="3" t="s">
        <v>94</v>
      </c>
      <c r="H22" s="2" t="str">
        <f aca="false">IF(AND(A22&lt;&gt;"",B22&lt;&gt;""),"Yes","MISSING")</f>
        <v>Yes</v>
      </c>
      <c r="I22" s="2" t="str">
        <f aca="false">IF(F22="—","System / integration test","UAT")</f>
        <v>UAT</v>
      </c>
    </row>
    <row r="23" customFormat="false" ht="23.85" hidden="false" customHeight="false" outlineLevel="0" collapsed="false">
      <c r="A23" s="2" t="s">
        <v>97</v>
      </c>
      <c r="B23" s="2" t="s">
        <v>98</v>
      </c>
      <c r="C23" s="2" t="s">
        <v>90</v>
      </c>
      <c r="D23" s="2" t="s">
        <v>99</v>
      </c>
      <c r="E23" s="2" t="s">
        <v>100</v>
      </c>
      <c r="F23" s="2" t="s">
        <v>93</v>
      </c>
      <c r="G23" s="3" t="s">
        <v>94</v>
      </c>
      <c r="H23" s="2" t="str">
        <f aca="false">IF(AND(A23&lt;&gt;"",B23&lt;&gt;""),"Yes","MISSING")</f>
        <v>Yes</v>
      </c>
      <c r="I23" s="2" t="str">
        <f aca="false">IF(F23="—","System / integration test","UAT")</f>
        <v>UAT</v>
      </c>
    </row>
    <row r="24" customFormat="false" ht="23.85" hidden="false" customHeight="false" outlineLevel="0" collapsed="false">
      <c r="A24" s="2" t="s">
        <v>101</v>
      </c>
      <c r="B24" s="2" t="s">
        <v>102</v>
      </c>
      <c r="C24" s="2" t="s">
        <v>77</v>
      </c>
      <c r="D24" s="2" t="s">
        <v>103</v>
      </c>
      <c r="E24" s="2" t="s">
        <v>104</v>
      </c>
      <c r="F24" s="2" t="s">
        <v>105</v>
      </c>
      <c r="G24" s="3" t="s">
        <v>106</v>
      </c>
      <c r="H24" s="2" t="str">
        <f aca="false">IF(AND(A24&lt;&gt;"",B24&lt;&gt;""),"Yes","MISSING")</f>
        <v>Yes</v>
      </c>
      <c r="I24" s="2" t="str">
        <f aca="false">IF(F24="—","System / integration test","UAT")</f>
        <v>UAT</v>
      </c>
    </row>
    <row r="25" customFormat="false" ht="35.05" hidden="false" customHeight="false" outlineLevel="0" collapsed="false">
      <c r="A25" s="2" t="s">
        <v>9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s">
        <v>14</v>
      </c>
      <c r="G25" s="3" t="s">
        <v>15</v>
      </c>
      <c r="H25" s="2" t="str">
        <f aca="false">IF(AND(A25&lt;&gt;"",B25&lt;&gt;""),"Yes","MISSING")</f>
        <v>Yes</v>
      </c>
      <c r="I25" s="2" t="str">
        <f aca="false">IF(F25="—","System / integration test","UAT")</f>
        <v>System / integration test</v>
      </c>
    </row>
    <row r="26" customFormat="false" ht="23.85" hidden="false" customHeight="false" outlineLevel="0" collapsed="false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s">
        <v>14</v>
      </c>
      <c r="G26" s="3" t="s">
        <v>116</v>
      </c>
      <c r="H26" s="2" t="str">
        <f aca="false">IF(AND(A26&lt;&gt;"",B26&lt;&gt;""),"Yes","MISSING")</f>
        <v>Yes</v>
      </c>
      <c r="I26" s="2" t="s">
        <v>117</v>
      </c>
    </row>
    <row r="27" customFormat="false" ht="35.05" hidden="false" customHeight="false" outlineLevel="0" collapsed="false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14</v>
      </c>
      <c r="G27" s="3" t="s">
        <v>116</v>
      </c>
      <c r="H27" s="2" t="str">
        <f aca="false">IF(AND(A27&lt;&gt;"",B27&lt;&gt;""),"Yes","MISSING")</f>
        <v>Yes</v>
      </c>
      <c r="I27" s="2" t="s">
        <v>117</v>
      </c>
    </row>
    <row r="28" customFormat="false" ht="35.0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s">
        <v>14</v>
      </c>
      <c r="G28" s="3" t="s">
        <v>116</v>
      </c>
      <c r="H28" s="2" t="str">
        <f aca="false">IF(AND(A28&lt;&gt;"",B28&lt;&gt;""),"Yes","MISSING")</f>
        <v>Yes</v>
      </c>
      <c r="I28" s="2" t="s">
        <v>117</v>
      </c>
    </row>
    <row r="29" customFormat="false" ht="35.05" hidden="false" customHeight="false" outlineLevel="0" collapsed="false">
      <c r="A29" s="2" t="s">
        <v>9</v>
      </c>
      <c r="B29" s="2" t="s">
        <v>16</v>
      </c>
      <c r="C29" s="2" t="s">
        <v>17</v>
      </c>
      <c r="D29" s="2" t="s">
        <v>128</v>
      </c>
      <c r="E29" s="2" t="s">
        <v>129</v>
      </c>
      <c r="F29" s="2" t="s">
        <v>14</v>
      </c>
      <c r="G29" s="3" t="s">
        <v>116</v>
      </c>
      <c r="H29" s="2" t="str">
        <f aca="false">IF(AND(A29&lt;&gt;"",B29&lt;&gt;""),"Yes","MISSING")</f>
        <v>Yes</v>
      </c>
      <c r="I29" s="2" t="s">
        <v>117</v>
      </c>
    </row>
    <row r="30" customFormat="false" ht="23.85" hidden="false" customHeight="false" outlineLevel="0" collapsed="false">
      <c r="A30" s="2" t="s">
        <v>111</v>
      </c>
      <c r="B30" s="2" t="s">
        <v>112</v>
      </c>
      <c r="C30" s="2" t="s">
        <v>113</v>
      </c>
      <c r="D30" s="2" t="s">
        <v>130</v>
      </c>
      <c r="E30" s="2" t="s">
        <v>131</v>
      </c>
      <c r="F30" s="2" t="s">
        <v>14</v>
      </c>
      <c r="G30" s="3" t="s">
        <v>116</v>
      </c>
      <c r="H30" s="2" t="str">
        <f aca="false">IF(AND(A30&lt;&gt;"",B30&lt;&gt;""),"Yes","MISSING")</f>
        <v>Yes</v>
      </c>
      <c r="I30" s="2" t="s">
        <v>117</v>
      </c>
    </row>
    <row r="31" customFormat="false" ht="23.85" hidden="false" customHeight="false" outlineLevel="0" collapsed="false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s">
        <v>14</v>
      </c>
      <c r="G31" s="3" t="s">
        <v>14</v>
      </c>
      <c r="H31" s="2" t="str">
        <f aca="false">IF(AND(A31&lt;&gt;"",B31&lt;&gt;""),"Yes","MISSING")</f>
        <v>Yes</v>
      </c>
      <c r="I31" s="2" t="s">
        <v>137</v>
      </c>
    </row>
    <row r="33" customFormat="false" ht="15" hidden="false" customHeight="false" outlineLevel="0" collapsed="false">
      <c r="A33" s="4" t="s">
        <v>138</v>
      </c>
    </row>
    <row r="34" customFormat="false" ht="15" hidden="false" customHeight="false" outlineLevel="0" collapsed="false">
      <c r="A34" s="0" t="s">
        <v>139</v>
      </c>
      <c r="E34" s="4" t="n">
        <f aca="false">COUNTIF(H2:H31,"MISSING")</f>
        <v>0</v>
      </c>
    </row>
    <row r="35" customFormat="false" ht="15" hidden="false" customHeight="false" outlineLevel="0" collapsed="false">
      <c r="A35" s="0" t="s">
        <v>140</v>
      </c>
      <c r="E35" s="4" t="n">
        <f aca="false">COUNTA(D2:D31)</f>
        <v>30</v>
      </c>
    </row>
    <row r="37" customFormat="false" ht="15" hidden="false" customHeight="false" outlineLevel="0" collapsed="false">
      <c r="A37" s="5" t="s">
        <v>141</v>
      </c>
    </row>
    <row r="38" customFormat="false" ht="15" hidden="false" customHeight="false" outlineLevel="0" collapsed="false">
      <c r="A38" s="5" t="s">
        <v>142</v>
      </c>
    </row>
    <row r="39" customFormat="false" ht="15" hidden="false" customHeight="false" outlineLevel="0" collapsed="false">
      <c r="A39" s="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customFormat="false" ht="15" hidden="false" customHeight="false" outlineLevel="0" collapsed="false">
      <c r="A2" s="6" t="s">
        <v>20</v>
      </c>
      <c r="B2" s="2" t="s">
        <v>149</v>
      </c>
      <c r="C2" s="2" t="s">
        <v>150</v>
      </c>
      <c r="D2" s="2" t="s">
        <v>151</v>
      </c>
      <c r="E2" s="2" t="str">
        <f aca="false">IF(D2="","No","Yes")</f>
        <v>Yes</v>
      </c>
      <c r="F2" s="2"/>
    </row>
    <row r="3" customFormat="false" ht="15" hidden="false" customHeight="false" outlineLevel="0" collapsed="false">
      <c r="A3" s="6" t="s">
        <v>152</v>
      </c>
      <c r="B3" s="2" t="s">
        <v>149</v>
      </c>
      <c r="C3" s="2" t="s">
        <v>89</v>
      </c>
      <c r="D3" s="2" t="s">
        <v>153</v>
      </c>
      <c r="E3" s="2" t="str">
        <f aca="false">IF(D3="","No","Yes")</f>
        <v>Yes</v>
      </c>
      <c r="F3" s="2"/>
    </row>
    <row r="4" customFormat="false" ht="15" hidden="false" customHeight="false" outlineLevel="0" collapsed="false">
      <c r="A4" s="6" t="s">
        <v>154</v>
      </c>
      <c r="B4" s="2" t="s">
        <v>149</v>
      </c>
      <c r="C4" s="2" t="s">
        <v>89</v>
      </c>
      <c r="D4" s="2" t="s">
        <v>153</v>
      </c>
      <c r="E4" s="2" t="str">
        <f aca="false">IF(D4="","No","Yes")</f>
        <v>Yes</v>
      </c>
      <c r="F4" s="2"/>
    </row>
    <row r="5" customFormat="false" ht="23.85" hidden="false" customHeight="false" outlineLevel="0" collapsed="false">
      <c r="A5" s="6" t="s">
        <v>9</v>
      </c>
      <c r="B5" s="2" t="s">
        <v>155</v>
      </c>
      <c r="C5" s="2" t="s">
        <v>156</v>
      </c>
      <c r="D5" s="2" t="s">
        <v>157</v>
      </c>
      <c r="E5" s="2" t="str">
        <f aca="false">IF(D5="","No","Yes")</f>
        <v>Yes</v>
      </c>
      <c r="F5" s="2"/>
    </row>
    <row r="6" customFormat="false" ht="15" hidden="false" customHeight="false" outlineLevel="0" collapsed="false">
      <c r="A6" s="6" t="s">
        <v>51</v>
      </c>
      <c r="B6" s="2" t="s">
        <v>155</v>
      </c>
      <c r="C6" s="2" t="s">
        <v>52</v>
      </c>
      <c r="D6" s="2" t="s">
        <v>158</v>
      </c>
      <c r="E6" s="2" t="str">
        <f aca="false">IF(D6="","No","Yes")</f>
        <v>Yes</v>
      </c>
      <c r="F6" s="2"/>
    </row>
    <row r="7" customFormat="false" ht="15" hidden="false" customHeight="false" outlineLevel="0" collapsed="false">
      <c r="A7" s="6" t="s">
        <v>55</v>
      </c>
      <c r="B7" s="2" t="s">
        <v>155</v>
      </c>
      <c r="C7" s="2" t="s">
        <v>56</v>
      </c>
      <c r="D7" s="2" t="s">
        <v>159</v>
      </c>
      <c r="E7" s="2" t="str">
        <f aca="false">IF(D7="","No","Yes")</f>
        <v>Yes</v>
      </c>
      <c r="F7" s="2"/>
    </row>
    <row r="8" customFormat="false" ht="15" hidden="false" customHeight="false" outlineLevel="0" collapsed="false">
      <c r="A8" s="6" t="s">
        <v>59</v>
      </c>
      <c r="B8" s="2" t="s">
        <v>155</v>
      </c>
      <c r="C8" s="2" t="s">
        <v>60</v>
      </c>
      <c r="D8" s="2" t="s">
        <v>160</v>
      </c>
      <c r="E8" s="2" t="str">
        <f aca="false">IF(D8="","No","Yes")</f>
        <v>Yes</v>
      </c>
      <c r="F8" s="2"/>
    </row>
    <row r="9" customFormat="false" ht="15" hidden="false" customHeight="false" outlineLevel="0" collapsed="false">
      <c r="A9" s="6" t="s">
        <v>101</v>
      </c>
      <c r="B9" s="2" t="s">
        <v>155</v>
      </c>
      <c r="C9" s="2" t="s">
        <v>161</v>
      </c>
      <c r="D9" s="2" t="s">
        <v>162</v>
      </c>
      <c r="E9" s="2" t="str">
        <f aca="false">IF(D9="","No","Yes")</f>
        <v>Yes</v>
      </c>
      <c r="F9" s="2"/>
    </row>
    <row r="10" customFormat="false" ht="15" hidden="false" customHeight="false" outlineLevel="0" collapsed="false">
      <c r="A10" s="6" t="s">
        <v>84</v>
      </c>
      <c r="B10" s="2" t="s">
        <v>155</v>
      </c>
      <c r="C10" s="2" t="s">
        <v>85</v>
      </c>
      <c r="D10" s="2" t="s">
        <v>86</v>
      </c>
      <c r="E10" s="2" t="str">
        <f aca="false">IF(D10="","No","Yes")</f>
        <v>Yes</v>
      </c>
      <c r="F10" s="2"/>
    </row>
    <row r="11" customFormat="false" ht="15" hidden="false" customHeight="false" outlineLevel="0" collapsed="false">
      <c r="A11" s="6" t="s">
        <v>163</v>
      </c>
      <c r="B11" s="2" t="s">
        <v>164</v>
      </c>
      <c r="C11" s="2" t="s">
        <v>165</v>
      </c>
      <c r="D11" s="2" t="s">
        <v>166</v>
      </c>
      <c r="E11" s="2" t="str">
        <f aca="false">IF(D11="","No","Yes")</f>
        <v>Yes</v>
      </c>
      <c r="F11" s="2"/>
    </row>
    <row r="13" customFormat="false" ht="15" hidden="false" customHeight="false" outlineLevel="0" collapsed="false">
      <c r="A13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2026-09-26T21:02:48Z</dcterms:created>
  <dc:creator>openpyxl</dc:creator>
  <dc:description/>
  <dc:language>en-US</dc:language>
  <cp:lastModifiedBy/>
  <dcterms:modified xsi:type="dcterms:W3CDTF">2026-09-26T21:02:48Z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