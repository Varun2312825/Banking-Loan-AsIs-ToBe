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RS worksheet" sheetId="1" state="visible" r:id="rId3"/>
    <sheet name="Options" sheetId="2" state="visible" r:id="rId4"/>
    <sheet name="Chosen improve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<sst xmlns="http://schemas.openxmlformats.org/spreadsheetml/2006/main" count="224" uniqueCount="151">
  <si>
    <t xml:space="preserve">Pain point</t>
  </si>
  <si>
    <t xml:space="preserve">Eliminate it?</t>
  </si>
  <si>
    <t xml:space="preserve">Combine it with another step?</t>
  </si>
  <si>
    <t xml:space="preserve">Reorder it (do it earlier)?</t>
  </si>
  <si>
    <t xml:space="preserve">Simplify or automate it?</t>
  </si>
  <si>
    <t xml:space="preserve">Ideas it produced</t>
  </si>
  <si>
    <t xml:space="preserve">PP-01 Document chase (High)</t>
  </si>
  <si>
    <t xml:space="preserve">Stop incomplete files entering the process at all</t>
  </si>
  <si>
    <t xml:space="preserve">Put every missing item in one request</t>
  </si>
  <si>
    <t xml:space="preserve">Check completeness at capture, before the handoff</t>
  </si>
  <si>
    <t xml:space="preserve">Customer uploads directly against a checklist</t>
  </si>
  <si>
    <t xml:space="preserve">O1, O2, O3 (R2, R3 rejected)</t>
  </si>
  <si>
    <t xml:space="preserve">PP-02 Customer reply + branch visit to sign (High)</t>
  </si>
  <si>
    <t xml:space="preserve">Remove the branch visit with e-sign</t>
  </si>
  <si>
    <t xml:space="preserve">Combine accepting and signing</t>
  </si>
  <si>
    <t xml:space="preserve">—</t>
  </si>
  <si>
    <t xml:space="preserve">Aadhaar OTP e-sign</t>
  </si>
  <si>
    <t xml:space="preserve">O8</t>
  </si>
  <si>
    <t xml:space="preserve">PP-03 Separate 48 h mandate (High)</t>
  </si>
  <si>
    <t xml:space="preserve">Remove the paper mandate form</t>
  </si>
  <si>
    <t xml:space="preserve">Combine mandate setup with signing</t>
  </si>
  <si>
    <t xml:space="preserve">Set up the mandate at acceptance, not after the agreement</t>
  </si>
  <si>
    <t xml:space="preserve">e-mandate</t>
  </si>
  <si>
    <t xml:space="preserve">PP-04 Data typed 5 times (Medium)</t>
  </si>
  <si>
    <t xml:space="preserve">Customer enters data once</t>
  </si>
  <si>
    <t xml:space="preserve">Integrations for KYC/PAN, DTI and core banking</t>
  </si>
  <si>
    <t xml:space="preserve">O2, O4, O6, O9</t>
  </si>
  <si>
    <t xml:space="preserve">PP-05 Credit score checked last (Medium)</t>
  </si>
  <si>
    <t xml:space="preserve">Run the bureau pull with the other checks</t>
  </si>
  <si>
    <t xml:space="preserve">Pull the bureau report at submission</t>
  </si>
  <si>
    <t xml:space="preserve">Bureau integration</t>
  </si>
  <si>
    <t xml:space="preserve">O4</t>
  </si>
  <si>
    <t xml:space="preserve">PP-06 Employer checked by email (Medium)</t>
  </si>
  <si>
    <t xml:space="preserve">Stop emailing HR</t>
  </si>
  <si>
    <t xml:space="preserve">Official-email OTP or employer database</t>
  </si>
  <si>
    <t xml:space="preserve">O5</t>
  </si>
  <si>
    <t xml:space="preserve">PP-07 Referrals by email (Medium)</t>
  </si>
  <si>
    <t xml:space="preserve">Stop routing by email</t>
  </si>
  <si>
    <t xml:space="preserve">Queues with time limits in the LOS</t>
  </si>
  <si>
    <t xml:space="preserve">O7 (R4 rejected)</t>
  </si>
  <si>
    <t xml:space="preserve">PP-09 Missing evidence found at the end (Medium)</t>
  </si>
  <si>
    <t xml:space="preserve">Skipping the check was considered and rejected</t>
  </si>
  <si>
    <t xml:space="preserve">Collect evidence during the process</t>
  </si>
  <si>
    <t xml:space="preserve">Automatic evidence checklist</t>
  </si>
  <si>
    <t xml:space="preserve">O10 (R1 rejected)</t>
  </si>
  <si>
    <t xml:space="preserve">PP-10 No status visibility (Medium)</t>
  </si>
  <si>
    <t xml:space="preserve">Automatic status updates</t>
  </si>
  <si>
    <t xml:space="preserve">O11</t>
  </si>
  <si>
    <t xml:space="preserve">PP-08 Income checked twice (Low)</t>
  </si>
  <si>
    <t xml:space="preserve">Remove the duplicate check</t>
  </si>
  <si>
    <t xml:space="preserve">One automated income and DTI calculation</t>
  </si>
  <si>
    <t xml:space="preserve">Auto-decide in-policy applications</t>
  </si>
  <si>
    <t xml:space="preserve">O6</t>
  </si>
  <si>
    <t xml:space="preserve">Each pain point was put through the four ECRS questions; '—' means the question produced no useful idea. The ideas are scored on the Options tab.</t>
  </si>
  <si>
    <t xml:space="preserve">ID</t>
  </si>
  <si>
    <t xml:space="preserve">Improvement idea</t>
  </si>
  <si>
    <t xml:space="preserve">ECRS type</t>
  </si>
  <si>
    <t xml:space="preserve">Pain points addressed</t>
  </si>
  <si>
    <t xml:space="preserve">Impact (1–5)</t>
  </si>
  <si>
    <t xml:space="preserve">Effort (1–5)</t>
  </si>
  <si>
    <t xml:space="preserve">Keeps every regulatory control?</t>
  </si>
  <si>
    <t xml:space="preserve">Score</t>
  </si>
  <si>
    <t xml:space="preserve">Decision</t>
  </si>
  <si>
    <t xml:space="preserve">Part of chosen improvement</t>
  </si>
  <si>
    <t xml:space="preserve">O1</t>
  </si>
  <si>
    <t xml:space="preserve">Enforce the mandatory-document checklist in the application; block submission until every document is present and readable</t>
  </si>
  <si>
    <t xml:space="preserve">Simplify / Reorder</t>
  </si>
  <si>
    <t xml:space="preserve">PP-01</t>
  </si>
  <si>
    <t xml:space="preserve">Yes</t>
  </si>
  <si>
    <t xml:space="preserve">I1</t>
  </si>
  <si>
    <t xml:space="preserve">O2</t>
  </si>
  <si>
    <t xml:space="preserve">Customer self-service digital application with document upload and e-consent, so data is entered once (staff-assisted mode for branch walk-ins)</t>
  </si>
  <si>
    <t xml:space="preserve">Eliminate</t>
  </si>
  <si>
    <t xml:space="preserve">PP-01, PP-04</t>
  </si>
  <si>
    <t xml:space="preserve">O3</t>
  </si>
  <si>
    <t xml:space="preserve">One consolidated request listing every missing item, with a secure upload link</t>
  </si>
  <si>
    <t xml:space="preserve">Combine</t>
  </si>
  <si>
    <t xml:space="preserve">Run e-KYC / CKYC, PAN validation, fraud and negative-list screening and the credit bureau pull automatically at submission</t>
  </si>
  <si>
    <t xml:space="preserve">Reorder / Automate</t>
  </si>
  <si>
    <t xml:space="preserve">PP-04, PP-05</t>
  </si>
  <si>
    <t xml:space="preserve">I2</t>
  </si>
  <si>
    <t xml:space="preserve">Verify employment by official-email OTP or an employer database instead of emailing HR</t>
  </si>
  <si>
    <t xml:space="preserve">Automate</t>
  </si>
  <si>
    <t xml:space="preserve">PP-06</t>
  </si>
  <si>
    <t xml:space="preserve">Calculate DTI automatically from bureau and bank-statement data; auto-decide applications that meet policy, refer the rest to an underwriter</t>
  </si>
  <si>
    <t xml:space="preserve">Simplify / Combine</t>
  </si>
  <si>
    <t xml:space="preserve">PP-04, PP-08</t>
  </si>
  <si>
    <t xml:space="preserve">I3</t>
  </si>
  <si>
    <t xml:space="preserve">O7</t>
  </si>
  <si>
    <t xml:space="preserve">Route screening hits and deviation approvals through the LOS with SLAs and escalation instead of email</t>
  </si>
  <si>
    <t xml:space="preserve">Simplify</t>
  </si>
  <si>
    <t xml:space="preserve">PP-07</t>
  </si>
  <si>
    <t xml:space="preserve">I5</t>
  </si>
  <si>
    <t xml:space="preserve">One digital closing step: accept the offer, e-sign the agreement (Aadhaar OTP) and set up the e-mandate in one session, after the KFS is shown</t>
  </si>
  <si>
    <t xml:space="preserve">PP-02, PP-03</t>
  </si>
  <si>
    <t xml:space="preserve">I4</t>
  </si>
  <si>
    <t xml:space="preserve">O9</t>
  </si>
  <si>
    <t xml:space="preserve">Integrate the LOS with the core banking system so the loan account is created without re-keying</t>
  </si>
  <si>
    <t xml:space="preserve">PP-04</t>
  </si>
  <si>
    <t xml:space="preserve">I6</t>
  </si>
  <si>
    <t xml:space="preserve">O10</t>
  </si>
  <si>
    <t xml:space="preserve">Compile compliance evidence automatically during the process; block disbursal until the checklist is complete</t>
  </si>
  <si>
    <t xml:space="preserve">PP-09</t>
  </si>
  <si>
    <t xml:space="preserve">Automatic status updates to the customer and branch at each stage</t>
  </si>
  <si>
    <t xml:space="preserve">PP-10</t>
  </si>
  <si>
    <t xml:space="preserve">R1</t>
  </si>
  <si>
    <t xml:space="preserve">Skip the final compliance check for loans under ₹1 lakh</t>
  </si>
  <si>
    <t xml:space="preserve">No</t>
  </si>
  <si>
    <t xml:space="preserve">R2</t>
  </si>
  <si>
    <t xml:space="preserve">Accept documents from existing customers without re-verifying KYC</t>
  </si>
  <si>
    <t xml:space="preserve">R3</t>
  </si>
  <si>
    <t xml:space="preserve">Hire more Credit Operations analysts to shorten the queue</t>
  </si>
  <si>
    <t xml:space="preserve">— (adds capacity)</t>
  </si>
  <si>
    <t xml:space="preserve">R4</t>
  </si>
  <si>
    <t xml:space="preserve">Let branch staff approve small loans themselves</t>
  </si>
  <si>
    <t xml:space="preserve">ECRS = Eliminate, Combine, Reorder, Simplify: four questions asked of every pain point.</t>
  </si>
  <si>
    <t xml:space="preserve">Score = Impact × (6 − Effort), so high-impact, low-effort ideas score highest (maximum 25). Rule: shortlisted if score ≥ 8 AND every regulatory control is kept; any idea that removes a control is dropped whatever its score.</t>
  </si>
  <si>
    <t xml:space="preserve">The 11 shortlisted ideas are combined into 6 chosen improvements (I1–I6, see the Chosen improvements tab) because several only work together, e.g. O1 (block incomplete submissions) needs O2 (a digital application) to exist.</t>
  </si>
  <si>
    <t xml:space="preserve">Controls that can be moved or automated but never removed: KYC (S01), explicit consent, Key Fact Statement before signing, disbursal only to the borrower's own account (S02), segregation of duties, final compliance check.</t>
  </si>
  <si>
    <t xml:space="preserve">Impact and Effort are judgement scores (blue); change them and Score and Decision update.</t>
  </si>
  <si>
    <t xml:space="preserve">Chosen improvement</t>
  </si>
  <si>
    <t xml:space="preserve">Ideas combined</t>
  </si>
  <si>
    <t xml:space="preserve">Pain points solved</t>
  </si>
  <si>
    <t xml:space="preserve">Root cause addressed</t>
  </si>
  <si>
    <t xml:space="preserve">Impact (highest idea)</t>
  </si>
  <si>
    <t xml:space="preserve">Effort (highest idea)</t>
  </si>
  <si>
    <t xml:space="preserve">Controls explicitly kept</t>
  </si>
  <si>
    <t xml:space="preserve">Digital application with enforced completeness</t>
  </si>
  <si>
    <t xml:space="preserve">O1, O2, O3</t>
  </si>
  <si>
    <t xml:space="preserve">Root cause 1: completeness checked after the handoff, by the wrong team</t>
  </si>
  <si>
    <t xml:space="preserve">KYC documents and consent still collected, now digitally</t>
  </si>
  <si>
    <t xml:space="preserve">Automated checks at submission</t>
  </si>
  <si>
    <t xml:space="preserve">O4, O5</t>
  </si>
  <si>
    <t xml:space="preserve">PP-04, PP-05, PP-06</t>
  </si>
  <si>
    <t xml:space="preserve">Manual portals and email checks; bureau pulled last</t>
  </si>
  <si>
    <t xml:space="preserve">KYC and PAN verification kept (S01); consent before the bureau pull</t>
  </si>
  <si>
    <t xml:space="preserve">Rules-based credit decisioning</t>
  </si>
  <si>
    <t xml:space="preserve">Every file decided by hand; income checked twice</t>
  </si>
  <si>
    <t xml:space="preserve">Approved credit policy; every decision logged; borderline cases go to a person</t>
  </si>
  <si>
    <t xml:space="preserve">One-step digital closing</t>
  </si>
  <si>
    <t xml:space="preserve">Root cause 2: closing built around paper and separate steps</t>
  </si>
  <si>
    <t xml:space="preserve">Key Fact Statement shown before signing; signed copies sent to the borrower (S02)</t>
  </si>
  <si>
    <t xml:space="preserve">Workflow, SLAs and status tracking in the LOS</t>
  </si>
  <si>
    <t xml:space="preserve">O7, O10, O11</t>
  </si>
  <si>
    <t xml:space="preserve">PP-07, PP-09, PP-10</t>
  </si>
  <si>
    <t xml:space="preserve">Referrals and evidence handled outside the system</t>
  </si>
  <si>
    <t xml:space="preserve">Screening review and deviation approval by authorised staff; final compliance check kept</t>
  </si>
  <si>
    <t xml:space="preserve">LOS–core banking integration</t>
  </si>
  <si>
    <t xml:space="preserve">Manual bridge between the loan system and core banking</t>
  </si>
  <si>
    <t xml:space="preserve">Disbursal only to the borrower's own verified account (S02)</t>
  </si>
  <si>
    <t xml:space="preserve">6 chosen improvements, within the 4–6 the step asks for. Each links to at least one pain point and keeps every regulatory control. These are the changes drawn in the To-Be model.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</si>
</sst>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6B56"/>
        <bgColor rgb="FF008080"/>
      </patternFill>
    </fill>
    <fill>
      <patternFill patternType="solid">
        <fgColor rgb="FFE2F0E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B2AD"/>
      </left>
      <right style="thin">
        <color rgb="FFA6B2AD"/>
      </right>
      <top style="thin">
        <color rgb="FFA6B2AD"/>
      </top>
      <bottom style="thin">
        <color rgb="FFA6B2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F0EB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B56"/>
      <rgbColor rgb="FFA6B2AD"/>
      <rgbColor rgb="FF808080"/>
      <rgbColor rgb="FF9999FF"/>
      <rgbColor rgb="FF993366"/>
      <rgbColor rgb="FFFCE4D6"/>
      <rgbColor rgb="FFE2F0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4" min="3" style="0" width="30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23.85" hidden="false" customHeight="false" outlineLevel="0" collapsed="false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23.85" hidden="false" customHeight="false" outlineLevel="0" collapsed="false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17</v>
      </c>
    </row>
    <row r="5" customFormat="false" ht="23.85" hidden="false" customHeight="false" outlineLevel="0" collapsed="false">
      <c r="A5" s="2" t="s">
        <v>23</v>
      </c>
      <c r="B5" s="3" t="s">
        <v>24</v>
      </c>
      <c r="C5" s="3" t="s">
        <v>15</v>
      </c>
      <c r="D5" s="3" t="s">
        <v>15</v>
      </c>
      <c r="E5" s="3" t="s">
        <v>25</v>
      </c>
      <c r="F5" s="3" t="s">
        <v>26</v>
      </c>
    </row>
    <row r="6" customFormat="false" ht="23.85" hidden="false" customHeight="false" outlineLevel="0" collapsed="false">
      <c r="A6" s="2" t="s">
        <v>27</v>
      </c>
      <c r="B6" s="3" t="s">
        <v>15</v>
      </c>
      <c r="C6" s="3" t="s">
        <v>28</v>
      </c>
      <c r="D6" s="3" t="s">
        <v>29</v>
      </c>
      <c r="E6" s="3" t="s">
        <v>30</v>
      </c>
      <c r="F6" s="3" t="s">
        <v>31</v>
      </c>
    </row>
    <row r="7" customFormat="false" ht="23.85" hidden="false" customHeight="false" outlineLevel="0" collapsed="false">
      <c r="A7" s="2" t="s">
        <v>32</v>
      </c>
      <c r="B7" s="3" t="s">
        <v>33</v>
      </c>
      <c r="C7" s="3" t="s">
        <v>15</v>
      </c>
      <c r="D7" s="3" t="s">
        <v>15</v>
      </c>
      <c r="E7" s="3" t="s">
        <v>34</v>
      </c>
      <c r="F7" s="3" t="s">
        <v>35</v>
      </c>
    </row>
    <row r="8" customFormat="false" ht="15" hidden="false" customHeight="false" outlineLevel="0" collapsed="false">
      <c r="A8" s="2" t="s">
        <v>36</v>
      </c>
      <c r="B8" s="3" t="s">
        <v>37</v>
      </c>
      <c r="C8" s="3" t="s">
        <v>15</v>
      </c>
      <c r="D8" s="3" t="s">
        <v>15</v>
      </c>
      <c r="E8" s="3" t="s">
        <v>38</v>
      </c>
      <c r="F8" s="3" t="s">
        <v>39</v>
      </c>
    </row>
    <row r="9" customFormat="false" ht="23.85" hidden="false" customHeight="false" outlineLevel="0" collapsed="false">
      <c r="A9" s="2" t="s">
        <v>40</v>
      </c>
      <c r="B9" s="3" t="s">
        <v>41</v>
      </c>
      <c r="C9" s="3" t="s">
        <v>15</v>
      </c>
      <c r="D9" s="3" t="s">
        <v>42</v>
      </c>
      <c r="E9" s="3" t="s">
        <v>43</v>
      </c>
      <c r="F9" s="3" t="s">
        <v>44</v>
      </c>
    </row>
    <row r="10" customFormat="false" ht="15" hidden="false" customHeight="false" outlineLevel="0" collapsed="false">
      <c r="A10" s="2" t="s">
        <v>45</v>
      </c>
      <c r="B10" s="3" t="s">
        <v>15</v>
      </c>
      <c r="C10" s="3" t="s">
        <v>15</v>
      </c>
      <c r="D10" s="3" t="s">
        <v>15</v>
      </c>
      <c r="E10" s="3" t="s">
        <v>46</v>
      </c>
      <c r="F10" s="3" t="s">
        <v>47</v>
      </c>
    </row>
    <row r="11" customFormat="false" ht="23.85" hidden="false" customHeight="false" outlineLevel="0" collapsed="false">
      <c r="A11" s="2" t="s">
        <v>48</v>
      </c>
      <c r="B11" s="3" t="s">
        <v>49</v>
      </c>
      <c r="C11" s="3" t="s">
        <v>50</v>
      </c>
      <c r="D11" s="3" t="s">
        <v>15</v>
      </c>
      <c r="E11" s="3" t="s">
        <v>51</v>
      </c>
      <c r="F11" s="3" t="s">
        <v>52</v>
      </c>
    </row>
    <row r="13" customFormat="false" ht="15" hidden="false" customHeight="false" outlineLevel="0" collapsed="false">
      <c r="A13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4" min="3" style="0" width="16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4"/>
    <col collapsed="false" customWidth="true" hidden="false" outlineLevel="0" max="10" min="10" style="0" width="12"/>
  </cols>
  <sheetData>
    <row r="1" customFormat="false" ht="35.05" hidden="false" customHeight="false" outlineLevel="0" collapsed="false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customFormat="false" ht="23.85" hidden="false" customHeight="false" outlineLevel="0" collapsed="false">
      <c r="A2" s="5" t="s">
        <v>64</v>
      </c>
      <c r="B2" s="5" t="s">
        <v>65</v>
      </c>
      <c r="C2" s="5" t="s">
        <v>66</v>
      </c>
      <c r="D2" s="5" t="s">
        <v>67</v>
      </c>
      <c r="E2" s="6" t="n">
        <v>5</v>
      </c>
      <c r="F2" s="6" t="n">
        <v>3</v>
      </c>
      <c r="G2" s="6" t="s">
        <v>68</v>
      </c>
      <c r="H2" s="5" t="n">
        <f aca="false">E2*(6-F2)</f>
        <v>15</v>
      </c>
      <c r="I2" s="5" t="str">
        <f aca="false">IF(G2="No","Rejected: removes a control",IF(H2&gt;=8,"Shortlisted","Not shortlisted: score below 8"))</f>
        <v>Shortlisted</v>
      </c>
      <c r="J2" s="5" t="s">
        <v>69</v>
      </c>
    </row>
    <row r="3" customFormat="false" ht="23.85" hidden="false" customHeight="false" outlineLevel="0" collapsed="false">
      <c r="A3" s="5" t="s">
        <v>70</v>
      </c>
      <c r="B3" s="5" t="s">
        <v>71</v>
      </c>
      <c r="C3" s="5" t="s">
        <v>72</v>
      </c>
      <c r="D3" s="5" t="s">
        <v>73</v>
      </c>
      <c r="E3" s="6" t="n">
        <v>4</v>
      </c>
      <c r="F3" s="6" t="n">
        <v>3</v>
      </c>
      <c r="G3" s="6" t="s">
        <v>68</v>
      </c>
      <c r="H3" s="5" t="n">
        <f aca="false">E3*(6-F3)</f>
        <v>12</v>
      </c>
      <c r="I3" s="5" t="str">
        <f aca="false">IF(G3="No","Rejected: removes a control",IF(H3&gt;=8,"Shortlisted","Not shortlisted: score below 8"))</f>
        <v>Shortlisted</v>
      </c>
      <c r="J3" s="5" t="s">
        <v>69</v>
      </c>
    </row>
    <row r="4" customFormat="false" ht="23.85" hidden="false" customHeight="false" outlineLevel="0" collapsed="false">
      <c r="A4" s="5" t="s">
        <v>74</v>
      </c>
      <c r="B4" s="5" t="s">
        <v>75</v>
      </c>
      <c r="C4" s="5" t="s">
        <v>76</v>
      </c>
      <c r="D4" s="5" t="s">
        <v>67</v>
      </c>
      <c r="E4" s="6" t="n">
        <v>3</v>
      </c>
      <c r="F4" s="6" t="n">
        <v>2</v>
      </c>
      <c r="G4" s="6" t="s">
        <v>68</v>
      </c>
      <c r="H4" s="5" t="n">
        <f aca="false">E4*(6-F4)</f>
        <v>12</v>
      </c>
      <c r="I4" s="5" t="str">
        <f aca="false">IF(G4="No","Rejected: removes a control",IF(H4&gt;=8,"Shortlisted","Not shortlisted: score below 8"))</f>
        <v>Shortlisted</v>
      </c>
      <c r="J4" s="5" t="s">
        <v>69</v>
      </c>
    </row>
    <row r="5" customFormat="false" ht="23.85" hidden="false" customHeight="false" outlineLevel="0" collapsed="false">
      <c r="A5" s="5" t="s">
        <v>31</v>
      </c>
      <c r="B5" s="5" t="s">
        <v>77</v>
      </c>
      <c r="C5" s="5" t="s">
        <v>78</v>
      </c>
      <c r="D5" s="5" t="s">
        <v>79</v>
      </c>
      <c r="E5" s="6" t="n">
        <v>4</v>
      </c>
      <c r="F5" s="6" t="n">
        <v>3</v>
      </c>
      <c r="G5" s="6" t="s">
        <v>68</v>
      </c>
      <c r="H5" s="5" t="n">
        <f aca="false">E5*(6-F5)</f>
        <v>12</v>
      </c>
      <c r="I5" s="5" t="str">
        <f aca="false">IF(G5="No","Rejected: removes a control",IF(H5&gt;=8,"Shortlisted","Not shortlisted: score below 8"))</f>
        <v>Shortlisted</v>
      </c>
      <c r="J5" s="5" t="s">
        <v>80</v>
      </c>
    </row>
    <row r="6" customFormat="false" ht="23.85" hidden="false" customHeight="false" outlineLevel="0" collapsed="false">
      <c r="A6" s="5" t="s">
        <v>35</v>
      </c>
      <c r="B6" s="5" t="s">
        <v>81</v>
      </c>
      <c r="C6" s="5" t="s">
        <v>82</v>
      </c>
      <c r="D6" s="5" t="s">
        <v>83</v>
      </c>
      <c r="E6" s="6" t="n">
        <v>4</v>
      </c>
      <c r="F6" s="6" t="n">
        <v>3</v>
      </c>
      <c r="G6" s="6" t="s">
        <v>68</v>
      </c>
      <c r="H6" s="5" t="n">
        <f aca="false">E6*(6-F6)</f>
        <v>12</v>
      </c>
      <c r="I6" s="5" t="str">
        <f aca="false">IF(G6="No","Rejected: removes a control",IF(H6&gt;=8,"Shortlisted","Not shortlisted: score below 8"))</f>
        <v>Shortlisted</v>
      </c>
      <c r="J6" s="5" t="s">
        <v>80</v>
      </c>
    </row>
    <row r="7" customFormat="false" ht="23.85" hidden="false" customHeight="false" outlineLevel="0" collapsed="false">
      <c r="A7" s="5" t="s">
        <v>52</v>
      </c>
      <c r="B7" s="5" t="s">
        <v>84</v>
      </c>
      <c r="C7" s="5" t="s">
        <v>85</v>
      </c>
      <c r="D7" s="5" t="s">
        <v>86</v>
      </c>
      <c r="E7" s="6" t="n">
        <v>4</v>
      </c>
      <c r="F7" s="6" t="n">
        <v>4</v>
      </c>
      <c r="G7" s="6" t="s">
        <v>68</v>
      </c>
      <c r="H7" s="5" t="n">
        <f aca="false">E7*(6-F7)</f>
        <v>8</v>
      </c>
      <c r="I7" s="5" t="str">
        <f aca="false">IF(G7="No","Rejected: removes a control",IF(H7&gt;=8,"Shortlisted","Not shortlisted: score below 8"))</f>
        <v>Shortlisted</v>
      </c>
      <c r="J7" s="5" t="s">
        <v>87</v>
      </c>
    </row>
    <row r="8" customFormat="false" ht="23.85" hidden="false" customHeight="false" outlineLevel="0" collapsed="false">
      <c r="A8" s="5" t="s">
        <v>88</v>
      </c>
      <c r="B8" s="5" t="s">
        <v>89</v>
      </c>
      <c r="C8" s="5" t="s">
        <v>90</v>
      </c>
      <c r="D8" s="5" t="s">
        <v>91</v>
      </c>
      <c r="E8" s="6" t="n">
        <v>3</v>
      </c>
      <c r="F8" s="6" t="n">
        <v>2</v>
      </c>
      <c r="G8" s="6" t="s">
        <v>68</v>
      </c>
      <c r="H8" s="5" t="n">
        <f aca="false">E8*(6-F8)</f>
        <v>12</v>
      </c>
      <c r="I8" s="5" t="str">
        <f aca="false">IF(G8="No","Rejected: removes a control",IF(H8&gt;=8,"Shortlisted","Not shortlisted: score below 8"))</f>
        <v>Shortlisted</v>
      </c>
      <c r="J8" s="5" t="s">
        <v>92</v>
      </c>
    </row>
    <row r="9" customFormat="false" ht="23.85" hidden="false" customHeight="false" outlineLevel="0" collapsed="false">
      <c r="A9" s="5" t="s">
        <v>17</v>
      </c>
      <c r="B9" s="5" t="s">
        <v>93</v>
      </c>
      <c r="C9" s="5" t="s">
        <v>76</v>
      </c>
      <c r="D9" s="5" t="s">
        <v>94</v>
      </c>
      <c r="E9" s="6" t="n">
        <v>5</v>
      </c>
      <c r="F9" s="6" t="n">
        <v>3</v>
      </c>
      <c r="G9" s="6" t="s">
        <v>68</v>
      </c>
      <c r="H9" s="5" t="n">
        <f aca="false">E9*(6-F9)</f>
        <v>15</v>
      </c>
      <c r="I9" s="5" t="str">
        <f aca="false">IF(G9="No","Rejected: removes a control",IF(H9&gt;=8,"Shortlisted","Not shortlisted: score below 8"))</f>
        <v>Shortlisted</v>
      </c>
      <c r="J9" s="5" t="s">
        <v>95</v>
      </c>
    </row>
    <row r="10" customFormat="false" ht="23.85" hidden="false" customHeight="false" outlineLevel="0" collapsed="false">
      <c r="A10" s="5" t="s">
        <v>96</v>
      </c>
      <c r="B10" s="5" t="s">
        <v>97</v>
      </c>
      <c r="C10" s="5" t="s">
        <v>72</v>
      </c>
      <c r="D10" s="5" t="s">
        <v>98</v>
      </c>
      <c r="E10" s="6" t="n">
        <v>3</v>
      </c>
      <c r="F10" s="6" t="n">
        <v>3</v>
      </c>
      <c r="G10" s="6" t="s">
        <v>68</v>
      </c>
      <c r="H10" s="5" t="n">
        <f aca="false">E10*(6-F10)</f>
        <v>9</v>
      </c>
      <c r="I10" s="5" t="str">
        <f aca="false">IF(G10="No","Rejected: removes a control",IF(H10&gt;=8,"Shortlisted","Not shortlisted: score below 8"))</f>
        <v>Shortlisted</v>
      </c>
      <c r="J10" s="5" t="s">
        <v>99</v>
      </c>
    </row>
    <row r="11" customFormat="false" ht="23.85" hidden="false" customHeight="false" outlineLevel="0" collapsed="false">
      <c r="A11" s="5" t="s">
        <v>100</v>
      </c>
      <c r="B11" s="5" t="s">
        <v>101</v>
      </c>
      <c r="C11" s="5" t="s">
        <v>90</v>
      </c>
      <c r="D11" s="5" t="s">
        <v>102</v>
      </c>
      <c r="E11" s="6" t="n">
        <v>3</v>
      </c>
      <c r="F11" s="6" t="n">
        <v>2</v>
      </c>
      <c r="G11" s="6" t="s">
        <v>68</v>
      </c>
      <c r="H11" s="5" t="n">
        <f aca="false">E11*(6-F11)</f>
        <v>12</v>
      </c>
      <c r="I11" s="5" t="str">
        <f aca="false">IF(G11="No","Rejected: removes a control",IF(H11&gt;=8,"Shortlisted","Not shortlisted: score below 8"))</f>
        <v>Shortlisted</v>
      </c>
      <c r="J11" s="5" t="s">
        <v>92</v>
      </c>
    </row>
    <row r="12" customFormat="false" ht="15" hidden="false" customHeight="false" outlineLevel="0" collapsed="false">
      <c r="A12" s="5" t="s">
        <v>47</v>
      </c>
      <c r="B12" s="5" t="s">
        <v>103</v>
      </c>
      <c r="C12" s="5" t="s">
        <v>90</v>
      </c>
      <c r="D12" s="5" t="s">
        <v>104</v>
      </c>
      <c r="E12" s="6" t="n">
        <v>2</v>
      </c>
      <c r="F12" s="6" t="n">
        <v>2</v>
      </c>
      <c r="G12" s="6" t="s">
        <v>68</v>
      </c>
      <c r="H12" s="5" t="n">
        <f aca="false">E12*(6-F12)</f>
        <v>8</v>
      </c>
      <c r="I12" s="5" t="str">
        <f aca="false">IF(G12="No","Rejected: removes a control",IF(H12&gt;=8,"Shortlisted","Not shortlisted: score below 8"))</f>
        <v>Shortlisted</v>
      </c>
      <c r="J12" s="5" t="s">
        <v>92</v>
      </c>
    </row>
    <row r="13" customFormat="false" ht="15" hidden="false" customHeight="false" outlineLevel="0" collapsed="false">
      <c r="A13" s="5" t="s">
        <v>105</v>
      </c>
      <c r="B13" s="5" t="s">
        <v>106</v>
      </c>
      <c r="C13" s="5" t="s">
        <v>72</v>
      </c>
      <c r="D13" s="5" t="s">
        <v>102</v>
      </c>
      <c r="E13" s="6" t="n">
        <v>2</v>
      </c>
      <c r="F13" s="6" t="n">
        <v>1</v>
      </c>
      <c r="G13" s="6" t="s">
        <v>107</v>
      </c>
      <c r="H13" s="5" t="n">
        <f aca="false">E13*(6-F13)</f>
        <v>10</v>
      </c>
      <c r="I13" s="5" t="str">
        <f aca="false">IF(G13="No","Rejected: removes a control",IF(H13&gt;=8,"Shortlisted","Not shortlisted: score below 8"))</f>
        <v>Rejected: removes a control</v>
      </c>
      <c r="J13" s="5" t="s">
        <v>15</v>
      </c>
    </row>
    <row r="14" customFormat="false" ht="15" hidden="false" customHeight="false" outlineLevel="0" collapsed="false">
      <c r="A14" s="5" t="s">
        <v>108</v>
      </c>
      <c r="B14" s="5" t="s">
        <v>109</v>
      </c>
      <c r="C14" s="5" t="s">
        <v>72</v>
      </c>
      <c r="D14" s="5" t="s">
        <v>67</v>
      </c>
      <c r="E14" s="6" t="n">
        <v>3</v>
      </c>
      <c r="F14" s="6" t="n">
        <v>1</v>
      </c>
      <c r="G14" s="6" t="s">
        <v>107</v>
      </c>
      <c r="H14" s="5" t="n">
        <f aca="false">E14*(6-F14)</f>
        <v>15</v>
      </c>
      <c r="I14" s="5" t="str">
        <f aca="false">IF(G14="No","Rejected: removes a control",IF(H14&gt;=8,"Shortlisted","Not shortlisted: score below 8"))</f>
        <v>Rejected: removes a control</v>
      </c>
      <c r="J14" s="5" t="s">
        <v>15</v>
      </c>
    </row>
    <row r="15" customFormat="false" ht="23.85" hidden="false" customHeight="false" outlineLevel="0" collapsed="false">
      <c r="A15" s="5" t="s">
        <v>110</v>
      </c>
      <c r="B15" s="5" t="s">
        <v>111</v>
      </c>
      <c r="C15" s="5" t="s">
        <v>112</v>
      </c>
      <c r="D15" s="5" t="s">
        <v>67</v>
      </c>
      <c r="E15" s="6" t="n">
        <v>2</v>
      </c>
      <c r="F15" s="6" t="n">
        <v>3</v>
      </c>
      <c r="G15" s="6" t="s">
        <v>68</v>
      </c>
      <c r="H15" s="5" t="n">
        <f aca="false">E15*(6-F15)</f>
        <v>6</v>
      </c>
      <c r="I15" s="5" t="str">
        <f aca="false">IF(G15="No","Rejected: removes a control",IF(H15&gt;=8,"Shortlisted","Not shortlisted: score below 8"))</f>
        <v>Not shortlisted: score below 8</v>
      </c>
      <c r="J15" s="5" t="s">
        <v>15</v>
      </c>
    </row>
    <row r="16" customFormat="false" ht="15" hidden="false" customHeight="false" outlineLevel="0" collapsed="false">
      <c r="A16" s="5" t="s">
        <v>113</v>
      </c>
      <c r="B16" s="5" t="s">
        <v>114</v>
      </c>
      <c r="C16" s="5" t="s">
        <v>72</v>
      </c>
      <c r="D16" s="5" t="s">
        <v>91</v>
      </c>
      <c r="E16" s="6" t="n">
        <v>3</v>
      </c>
      <c r="F16" s="6" t="n">
        <v>1</v>
      </c>
      <c r="G16" s="6" t="s">
        <v>107</v>
      </c>
      <c r="H16" s="5" t="n">
        <f aca="false">E16*(6-F16)</f>
        <v>15</v>
      </c>
      <c r="I16" s="5" t="str">
        <f aca="false">IF(G16="No","Rejected: removes a control",IF(H16&gt;=8,"Shortlisted","Not shortlisted: score below 8"))</f>
        <v>Rejected: removes a control</v>
      </c>
      <c r="J16" s="5" t="s">
        <v>15</v>
      </c>
    </row>
    <row r="18" customFormat="false" ht="15" hidden="false" customHeight="false" outlineLevel="0" collapsed="false">
      <c r="A18" s="4" t="s">
        <v>115</v>
      </c>
    </row>
    <row r="19" customFormat="false" ht="15" hidden="false" customHeight="false" outlineLevel="0" collapsed="false">
      <c r="A19" s="4" t="s">
        <v>116</v>
      </c>
    </row>
    <row r="20" customFormat="false" ht="15" hidden="false" customHeight="false" outlineLevel="0" collapsed="false">
      <c r="A20" s="4" t="s">
        <v>117</v>
      </c>
    </row>
    <row r="21" customFormat="false" ht="15" hidden="false" customHeight="false" outlineLevel="0" collapsed="false">
      <c r="A21" s="4" t="s">
        <v>118</v>
      </c>
    </row>
    <row r="22" customFormat="false" ht="15" hidden="false" customHeight="false" outlineLevel="0" collapsed="false">
      <c r="A22" s="4" t="s">
        <v>119</v>
      </c>
    </row>
  </sheetData>
  <conditionalFormatting sqref="A2:J16">
    <cfRule type="expression" priority="2" aboveAverage="0" equalAverage="0" bottom="0" percent="0" rank="0" text="" dxfId="0">
      <formula>LEFT($I2,11)="Shortlisted"</formula>
    </cfRule>
    <cfRule type="expression" priority="3" aboveAverage="0" equalAverage="0" bottom="0" percent="0" rank="0" text="" dxfId="1">
      <formula>LEFT($I2,8)="Rejected"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35.05" hidden="false" customHeight="false" outlineLevel="0" collapsed="false">
      <c r="A1" s="1" t="s">
        <v>54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60</v>
      </c>
      <c r="I1" s="1" t="s">
        <v>126</v>
      </c>
    </row>
    <row r="2" customFormat="false" ht="23.85" hidden="false" customHeight="false" outlineLevel="0" collapsed="false">
      <c r="A2" s="2" t="s">
        <v>69</v>
      </c>
      <c r="B2" s="3" t="s">
        <v>127</v>
      </c>
      <c r="C2" s="3" t="s">
        <v>128</v>
      </c>
      <c r="D2" s="3" t="s">
        <v>73</v>
      </c>
      <c r="E2" s="3" t="s">
        <v>129</v>
      </c>
      <c r="F2" s="3" t="n">
        <f aca="false">MAX(Options!E2:E4)</f>
        <v>5</v>
      </c>
      <c r="G2" s="3" t="n">
        <f aca="false">MAX(Options!F2:F4)</f>
        <v>3</v>
      </c>
      <c r="H2" s="7" t="s">
        <v>68</v>
      </c>
      <c r="I2" s="3" t="s">
        <v>130</v>
      </c>
    </row>
    <row r="3" customFormat="false" ht="23.85" hidden="false" customHeight="false" outlineLevel="0" collapsed="false">
      <c r="A3" s="2" t="s">
        <v>80</v>
      </c>
      <c r="B3" s="3" t="s">
        <v>131</v>
      </c>
      <c r="C3" s="3" t="s">
        <v>132</v>
      </c>
      <c r="D3" s="3" t="s">
        <v>133</v>
      </c>
      <c r="E3" s="3" t="s">
        <v>134</v>
      </c>
      <c r="F3" s="3" t="n">
        <f aca="false">MAX(Options!E5:E6)</f>
        <v>4</v>
      </c>
      <c r="G3" s="3" t="n">
        <f aca="false">MAX(Options!F5:F6)</f>
        <v>3</v>
      </c>
      <c r="H3" s="7" t="s">
        <v>68</v>
      </c>
      <c r="I3" s="3" t="s">
        <v>135</v>
      </c>
    </row>
    <row r="4" customFormat="false" ht="23.85" hidden="false" customHeight="false" outlineLevel="0" collapsed="false">
      <c r="A4" s="2" t="s">
        <v>87</v>
      </c>
      <c r="B4" s="3" t="s">
        <v>136</v>
      </c>
      <c r="C4" s="3" t="s">
        <v>52</v>
      </c>
      <c r="D4" s="3" t="s">
        <v>86</v>
      </c>
      <c r="E4" s="3" t="s">
        <v>137</v>
      </c>
      <c r="F4" s="3" t="n">
        <f aca="false">Options!E7</f>
        <v>4</v>
      </c>
      <c r="G4" s="3" t="n">
        <f aca="false">Options!F7</f>
        <v>4</v>
      </c>
      <c r="H4" s="7" t="s">
        <v>68</v>
      </c>
      <c r="I4" s="3" t="s">
        <v>138</v>
      </c>
    </row>
    <row r="5" customFormat="false" ht="23.85" hidden="false" customHeight="false" outlineLevel="0" collapsed="false">
      <c r="A5" s="2" t="s">
        <v>95</v>
      </c>
      <c r="B5" s="3" t="s">
        <v>139</v>
      </c>
      <c r="C5" s="3" t="s">
        <v>17</v>
      </c>
      <c r="D5" s="3" t="s">
        <v>94</v>
      </c>
      <c r="E5" s="3" t="s">
        <v>140</v>
      </c>
      <c r="F5" s="3" t="n">
        <f aca="false">Options!E9</f>
        <v>5</v>
      </c>
      <c r="G5" s="3" t="n">
        <f aca="false">Options!F9</f>
        <v>3</v>
      </c>
      <c r="H5" s="7" t="s">
        <v>68</v>
      </c>
      <c r="I5" s="3" t="s">
        <v>141</v>
      </c>
    </row>
    <row r="6" customFormat="false" ht="23.85" hidden="false" customHeight="false" outlineLevel="0" collapsed="false">
      <c r="A6" s="2" t="s">
        <v>92</v>
      </c>
      <c r="B6" s="3" t="s">
        <v>142</v>
      </c>
      <c r="C6" s="3" t="s">
        <v>143</v>
      </c>
      <c r="D6" s="3" t="s">
        <v>144</v>
      </c>
      <c r="E6" s="3" t="s">
        <v>145</v>
      </c>
      <c r="F6" s="3" t="n">
        <f aca="false">MAX(Options!E8,Options!E11,Options!E12)</f>
        <v>3</v>
      </c>
      <c r="G6" s="3" t="n">
        <f aca="false">MAX(Options!F8,Options!F11,Options!F12)</f>
        <v>2</v>
      </c>
      <c r="H6" s="7" t="s">
        <v>68</v>
      </c>
      <c r="I6" s="3" t="s">
        <v>146</v>
      </c>
    </row>
    <row r="7" customFormat="false" ht="23.85" hidden="false" customHeight="false" outlineLevel="0" collapsed="false">
      <c r="A7" s="2" t="s">
        <v>99</v>
      </c>
      <c r="B7" s="3" t="s">
        <v>147</v>
      </c>
      <c r="C7" s="3" t="s">
        <v>96</v>
      </c>
      <c r="D7" s="3" t="s">
        <v>98</v>
      </c>
      <c r="E7" s="3" t="s">
        <v>148</v>
      </c>
      <c r="F7" s="3" t="n">
        <f aca="false">Options!E10</f>
        <v>3</v>
      </c>
      <c r="G7" s="3" t="n">
        <f aca="false">Options!F10</f>
        <v>3</v>
      </c>
      <c r="H7" s="7" t="s">
        <v>68</v>
      </c>
      <c r="I7" s="3" t="s">
        <v>149</v>
      </c>
    </row>
    <row r="9" customFormat="false" ht="15" hidden="false" customHeight="false" outlineLevel="0" collapsed="false">
      <c r="A9" s="4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2026-09-26T20:49:53Z</dcterms:created>
  <dc:creator>openpyxl</dc:creator>
  <dc:description/>
  <dc:language>en-US</dc:language>
  <cp:lastModifiedBy/>
  <dcterms:modified xsi:type="dcterms:W3CDTF">2026-09-26T20:49:53Z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