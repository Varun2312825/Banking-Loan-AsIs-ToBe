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arison" sheetId="2" state="visible" r:id="rId4"/>
    <sheet name="Inputs" sheetId="3" state="visible" r:id="rId5"/>
    <sheet name="Activity times" sheetId="4" state="visible" r:id="rId6"/>
    <sheet name="Bottleneck" sheetId="5" state="visible" r:id="rId7"/>
    <sheet name="To-Be times" sheetId="6" state="visible" r:id="rId8"/>
    <sheet name="To-Be handoffs" sheetId="7" state="visible" r:id="rId9"/>
    <sheet name="Handoffs" sheetId="8" state="visible" r:id="rId10"/>
    <sheet name="System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<sst xmlns="http://schemas.openxmlformats.org/spreadsheetml/2006/main" count="857" uniqueCount="467">
  <si>
    <t xml:space="preserve">Headline metric</t>
  </si>
  <si>
    <t xml:space="preserve">As-Is value</t>
  </si>
  <si>
    <t xml:space="preserve">Unit</t>
  </si>
  <si>
    <t xml:space="preserve">How it is calculated</t>
  </si>
  <si>
    <t xml:space="preserve">TIME</t>
  </si>
  <si>
    <t xml:space="preserve">Expected turnaround time (TAT)</t>
  </si>
  <si>
    <t xml:space="preserve">days</t>
  </si>
  <si>
    <t xml:space="preserve">(all expected waits + all expected touch time) ÷ 24; includes rework and exceptions</t>
  </si>
  <si>
    <t xml:space="preserve">Happy-path TAT (nothing goes wrong)</t>
  </si>
  <si>
    <t xml:space="preserve">Main-path rows only</t>
  </si>
  <si>
    <t xml:space="preserve">Expected touch time (anyone working on it)</t>
  </si>
  <si>
    <t xml:space="preserve">hours</t>
  </si>
  <si>
    <t xml:space="preserve">Sum of expected touch minutes ÷ 60</t>
  </si>
  <si>
    <t xml:space="preserve">Expected staff touch time</t>
  </si>
  <si>
    <t xml:space="preserve">Touch time of bank staff only (excludes the customer's own time)</t>
  </si>
  <si>
    <t xml:space="preserve">Process efficiency</t>
  </si>
  <si>
    <t xml:space="preserve">%</t>
  </si>
  <si>
    <t xml:space="preserve">Touch time ÷ TAT: the share of elapsed time in which someone is actually working</t>
  </si>
  <si>
    <t xml:space="preserve">Share of time spent waiting</t>
  </si>
  <si>
    <t xml:space="preserve">1 − process efficiency</t>
  </si>
  <si>
    <t xml:space="preserve">Expected document-chase time</t>
  </si>
  <si>
    <t xml:space="preserve">A8 expected wait (share × one round)</t>
  </si>
  <si>
    <t xml:space="preserve">Share of TAT caused by the document chase</t>
  </si>
  <si>
    <t xml:space="preserve">A8 expected wait ÷ TAT</t>
  </si>
  <si>
    <t xml:space="preserve">Staff hours per month</t>
  </si>
  <si>
    <t xml:space="preserve">Expected staff touch × applications per month (AS-01)</t>
  </si>
  <si>
    <t xml:space="preserve">HANDOFFS AND RE-KEYING</t>
  </si>
  <si>
    <t xml:space="preserve">Handoffs on the main (happy) path</t>
  </si>
  <si>
    <t xml:space="preserve">count</t>
  </si>
  <si>
    <t xml:space="preserve">Rows in Handoffs with Path = Main</t>
  </si>
  <si>
    <t xml:space="preserve">Handoffs added by one document-chase round</t>
  </si>
  <si>
    <t xml:space="preserve">Added every time A8 repeats</t>
  </si>
  <si>
    <t xml:space="preserve">Handoffs on exception paths</t>
  </si>
  <si>
    <t xml:space="preserve">Fraud referral and deviation approval</t>
  </si>
  <si>
    <t xml:space="preserve">Re-keying points (all paths)</t>
  </si>
  <si>
    <t xml:space="preserve">Handoffs where data is typed again</t>
  </si>
  <si>
    <t xml:space="preserve">Systems in the process</t>
  </si>
  <si>
    <t xml:space="preserve">Formal systems (email and spreadsheets excluded)</t>
  </si>
  <si>
    <t xml:space="preserve">Manual bridges between systems</t>
  </si>
  <si>
    <t xml:space="preserve">Systems where data is moved by hand</t>
  </si>
  <si>
    <t xml:space="preserve">BENCHMARKS (from sources)</t>
  </si>
  <si>
    <t xml:space="preserve">Kotak: typical approval time</t>
  </si>
  <si>
    <t xml:space="preserve">24–72</t>
  </si>
  <si>
    <t xml:space="preserve">S05 (approval only, not disbursal)</t>
  </si>
  <si>
    <t xml:space="preserve">ICICI: approval after complete documents</t>
  </si>
  <si>
    <t xml:space="preserve">48</t>
  </si>
  <si>
    <t xml:space="preserve">S03 — note the condition: complete documentation</t>
  </si>
  <si>
    <t xml:space="preserve">Newgen case study: TAT after digital LOS</t>
  </si>
  <si>
    <t xml:space="preserve">S09 (vendor claim, MSME lending)</t>
  </si>
  <si>
    <t xml:space="preserve">All figures are estimates built from the assumptions in the Inputs sheet (details in assumption_register.xlsx). The conclusions rely on relative sizes (which stage waits longest, how much time is waiting) rather than on exact numbers.</t>
  </si>
  <si>
    <t xml:space="preserve">Reconstruction from public sources per 07_source_log; no Meridian Bank data was available.</t>
  </si>
  <si>
    <t xml:space="preserve">Metric</t>
  </si>
  <si>
    <t xml:space="preserve">As-Is</t>
  </si>
  <si>
    <t xml:space="preserve">To-Be</t>
  </si>
  <si>
    <t xml:space="preserve">Change</t>
  </si>
  <si>
    <t xml:space="preserve">Happy-path turnaround time</t>
  </si>
  <si>
    <t xml:space="preserve">Process efficiency (touch ÷ TAT)</t>
  </si>
  <si>
    <t xml:space="preserve">Staff hours per month (AS-01 volume)</t>
  </si>
  <si>
    <t xml:space="preserve">HANDOFFS, RE-KEYING, REWORK</t>
  </si>
  <si>
    <t xml:space="preserve">Handoffs on the main path</t>
  </si>
  <si>
    <t xml:space="preserve">Handoffs added by one rework round</t>
  </si>
  <si>
    <t xml:space="preserve">Re-keying points</t>
  </si>
  <si>
    <t xml:space="preserve">Expected rework rounds per application</t>
  </si>
  <si>
    <t xml:space="preserve">rounds</t>
  </si>
  <si>
    <t xml:space="preserve">Manual staff tasks on the happy path</t>
  </si>
  <si>
    <t xml:space="preserve">Headline</t>
  </si>
  <si>
    <t xml:space="preserve">To-Be handoffs and re-keying are recounted on the To-Be handoffs sheet from loan_origination_to_be.drawio.</t>
  </si>
  <si>
    <t xml:space="preserve">Manual bridges fall to 0 only if the integrations in the requirements (FR-02, FR-09 to FR-11, FR-24) are built (blue = design assumption).</t>
  </si>
  <si>
    <t xml:space="preserve">Process efficiency barely changes: staff work falls sharply, but most of the remaining To-Be time is the customer's own time to accept and e-sign, which the bank cannot remove.</t>
  </si>
  <si>
    <t xml:space="preserve">Both columns are estimates made the same way, so the comparison is like for like.</t>
  </si>
  <si>
    <t xml:space="preserve">Assumption ID</t>
  </si>
  <si>
    <t xml:space="preserve">Input</t>
  </si>
  <si>
    <t xml:space="preserve">Value</t>
  </si>
  <si>
    <t xml:space="preserve">AS-02</t>
  </si>
  <si>
    <t xml:space="preserve">Share of files incomplete at the first completeness check (A7)</t>
  </si>
  <si>
    <t xml:space="preserve">share</t>
  </si>
  <si>
    <t xml:space="preserve">AS-03</t>
  </si>
  <si>
    <t xml:space="preserve">Average document-chase rounds per incomplete file</t>
  </si>
  <si>
    <t xml:space="preserve">AS-04</t>
  </si>
  <si>
    <t xml:space="preserve">Elapsed time of one document-chase round</t>
  </si>
  <si>
    <t xml:space="preserve">AS-05</t>
  </si>
  <si>
    <t xml:space="preserve">Staff touch time of one document-chase round</t>
  </si>
  <si>
    <t xml:space="preserve">minutes</t>
  </si>
  <si>
    <t xml:space="preserve">AS-06</t>
  </si>
  <si>
    <t xml:space="preserve">Share of applications with a screening hit</t>
  </si>
  <si>
    <t xml:space="preserve">AS-08</t>
  </si>
  <si>
    <t xml:space="preserve">Share of applications needing a deviation approval</t>
  </si>
  <si>
    <t xml:space="preserve">AS-01</t>
  </si>
  <si>
    <t xml:space="preserve">Applications per month (capacity figures only)</t>
  </si>
  <si>
    <t xml:space="preserve">applications</t>
  </si>
  <si>
    <t xml:space="preserve">AS-20</t>
  </si>
  <si>
    <t xml:space="preserve">To-Be: share of submissions with a missing or unreadable item</t>
  </si>
  <si>
    <t xml:space="preserve">AS-22</t>
  </si>
  <si>
    <t xml:space="preserve">To-Be: share of automated checks needing manual resolution</t>
  </si>
  <si>
    <t xml:space="preserve">AS-23</t>
  </si>
  <si>
    <t xml:space="preserve">To-Be: share of applications referred to an underwriter</t>
  </si>
  <si>
    <t xml:space="preserve">Blue values on yellow are inputs: change them here and every sheet recalculates. Each value, its reasoning and confidence are recorded in assumption_register.xlsx.</t>
  </si>
  <si>
    <t xml:space="preserve">ID</t>
  </si>
  <si>
    <t xml:space="preserve">Activity</t>
  </si>
  <si>
    <t xml:space="preserve">Stage</t>
  </si>
  <si>
    <t xml:space="preserve">Lane (who does it)</t>
  </si>
  <si>
    <t xml:space="preserve">Actor type</t>
  </si>
  <si>
    <t xml:space="preserve">Path</t>
  </si>
  <si>
    <t xml:space="preserve">Share of applications</t>
  </si>
  <si>
    <t xml:space="preserve">Touch time (min)</t>
  </si>
  <si>
    <t xml:space="preserve">Wait before it starts (h)</t>
  </si>
  <si>
    <t xml:space="preserve">Expected touch (min)</t>
  </si>
  <si>
    <t xml:space="preserve">Expected wait (h)</t>
  </si>
  <si>
    <t xml:space="preserve">Source / assumption ID</t>
  </si>
  <si>
    <t xml:space="preserve">A1</t>
  </si>
  <si>
    <t xml:space="preserve">Submit loan application</t>
  </si>
  <si>
    <t xml:space="preserve">Capture</t>
  </si>
  <si>
    <t xml:space="preserve">Customer</t>
  </si>
  <si>
    <t xml:space="preserve">Main</t>
  </si>
  <si>
    <t xml:space="preserve">AS-17</t>
  </si>
  <si>
    <t xml:space="preserve">A2</t>
  </si>
  <si>
    <t xml:space="preserve">Capture application in LOS</t>
  </si>
  <si>
    <t xml:space="preserve">Branch / Sales</t>
  </si>
  <si>
    <t xml:space="preserve">Staff</t>
  </si>
  <si>
    <t xml:space="preserve">AS-17, AS-29 · Handoff H1</t>
  </si>
  <si>
    <t xml:space="preserve">A3</t>
  </si>
  <si>
    <t xml:space="preserve">Collect KYC documents</t>
  </si>
  <si>
    <t xml:space="preserve">A4</t>
  </si>
  <si>
    <t xml:space="preserve">Collect income documents</t>
  </si>
  <si>
    <t xml:space="preserve">A5</t>
  </si>
  <si>
    <t xml:space="preserve">Obtain customer consents</t>
  </si>
  <si>
    <t xml:space="preserve">A6</t>
  </si>
  <si>
    <t xml:space="preserve">Scan and hand over file</t>
  </si>
  <si>
    <t xml:space="preserve">AS-17, AS-30</t>
  </si>
  <si>
    <t xml:space="preserve">A7</t>
  </si>
  <si>
    <t xml:space="preserve">Check document completeness</t>
  </si>
  <si>
    <t xml:space="preserve">Verify</t>
  </si>
  <si>
    <t xml:space="preserve">Credit Operations</t>
  </si>
  <si>
    <t xml:space="preserve">AS-10 · Handoff H2</t>
  </si>
  <si>
    <t xml:space="preserve">A8</t>
  </si>
  <si>
    <t xml:space="preserve">Request missing documents (one round)</t>
  </si>
  <si>
    <t xml:space="preserve">Branch / Credit Ops / Customer</t>
  </si>
  <si>
    <t xml:space="preserve">Rework</t>
  </si>
  <si>
    <t xml:space="preserve">AS-02, AS-03, AS-04, AS-05 · Handoffs H3–H6</t>
  </si>
  <si>
    <t xml:space="preserve">A9</t>
  </si>
  <si>
    <t xml:space="preserve">Verify KYC</t>
  </si>
  <si>
    <t xml:space="preserve">AS-16, AS-17</t>
  </si>
  <si>
    <t xml:space="preserve">A10</t>
  </si>
  <si>
    <t xml:space="preserve">Validate PAN and identity</t>
  </si>
  <si>
    <t xml:space="preserve">AS-16, AS-17, AS-31</t>
  </si>
  <si>
    <t xml:space="preserve">A11</t>
  </si>
  <si>
    <t xml:space="preserve">Cross-check application data</t>
  </si>
  <si>
    <t xml:space="preserve">A12</t>
  </si>
  <si>
    <t xml:space="preserve">Verify employment</t>
  </si>
  <si>
    <t xml:space="preserve">AS-11, AS-32 · Handoff H7</t>
  </si>
  <si>
    <t xml:space="preserve">A13</t>
  </si>
  <si>
    <t xml:space="preserve">Screen fraud and negative lists</t>
  </si>
  <si>
    <t xml:space="preserve">A13R</t>
  </si>
  <si>
    <t xml:space="preserve">Review screening hit</t>
  </si>
  <si>
    <t xml:space="preserve">Risk &amp; Compliance</t>
  </si>
  <si>
    <t xml:space="preserve">Exception</t>
  </si>
  <si>
    <t xml:space="preserve">AS-06, AS-07 · Handoff H8</t>
  </si>
  <si>
    <t xml:space="preserve">A14</t>
  </si>
  <si>
    <t xml:space="preserve">Pull credit bureau report</t>
  </si>
  <si>
    <t xml:space="preserve">Assess</t>
  </si>
  <si>
    <t xml:space="preserve">A15</t>
  </si>
  <si>
    <t xml:space="preserve">Assess income and obligations</t>
  </si>
  <si>
    <t xml:space="preserve">Underwriting</t>
  </si>
  <si>
    <t xml:space="preserve">AS-12, AS-28 · Handoff H9</t>
  </si>
  <si>
    <t xml:space="preserve">A16</t>
  </si>
  <si>
    <t xml:space="preserve">Calculate debt-to-income ratio</t>
  </si>
  <si>
    <t xml:space="preserve">AS-28</t>
  </si>
  <si>
    <t xml:space="preserve">A17</t>
  </si>
  <si>
    <t xml:space="preserve">Apply credit policy checks</t>
  </si>
  <si>
    <t xml:space="preserve">AS-16, AS-28, AS-33</t>
  </si>
  <si>
    <t xml:space="preserve">A18</t>
  </si>
  <si>
    <t xml:space="preserve">Refer deviation for approval</t>
  </si>
  <si>
    <t xml:space="preserve">Decide</t>
  </si>
  <si>
    <t xml:space="preserve">Credit Manager</t>
  </si>
  <si>
    <t xml:space="preserve">AS-08, AS-09, AS-34 · Handoffs H10–H11</t>
  </si>
  <si>
    <t xml:space="preserve">A19</t>
  </si>
  <si>
    <t xml:space="preserve">Record credit decision</t>
  </si>
  <si>
    <t xml:space="preserve">AS-16, AS-28</t>
  </si>
  <si>
    <t xml:space="preserve">A20</t>
  </si>
  <si>
    <t xml:space="preserve">Issue sanction letter and KFS</t>
  </si>
  <si>
    <t xml:space="preserve">Close</t>
  </si>
  <si>
    <t xml:space="preserve">Disbursement</t>
  </si>
  <si>
    <t xml:space="preserve">AS-16, AS-17 · Handoff H12</t>
  </si>
  <si>
    <t xml:space="preserve">A21</t>
  </si>
  <si>
    <t xml:space="preserve">Accept sanction</t>
  </si>
  <si>
    <t xml:space="preserve">AS-13, AS-17 · Handoff H13</t>
  </si>
  <si>
    <t xml:space="preserve">A22</t>
  </si>
  <si>
    <t xml:space="preserve">Execute loan agreement</t>
  </si>
  <si>
    <t xml:space="preserve">Disbursement / Branch / Customer</t>
  </si>
  <si>
    <t xml:space="preserve">AS-14, AS-17 · Handoff H14</t>
  </si>
  <si>
    <t xml:space="preserve">A23</t>
  </si>
  <si>
    <t xml:space="preserve">Register repayment mandate</t>
  </si>
  <si>
    <t xml:space="preserve">AS-15, AS-17, AS-35</t>
  </si>
  <si>
    <t xml:space="preserve">A24</t>
  </si>
  <si>
    <t xml:space="preserve">Perform final compliance check</t>
  </si>
  <si>
    <t xml:space="preserve">AS-16, AS-17 · Handoff H15</t>
  </si>
  <si>
    <t xml:space="preserve">A25</t>
  </si>
  <si>
    <t xml:space="preserve">Disburse funds</t>
  </si>
  <si>
    <t xml:space="preserve">AS-16, AS-17 · Handoff H16</t>
  </si>
  <si>
    <t xml:space="preserve">A26</t>
  </si>
  <si>
    <t xml:space="preserve">Send welcome pack and archive file</t>
  </si>
  <si>
    <t xml:space="preserve">AS-16, AS-17 · Handoff H17</t>
  </si>
  <si>
    <t xml:space="preserve">Total (expected per application)</t>
  </si>
  <si>
    <t xml:space="preserve">Share of applications: 1 = every approved application passes through it. Rework and exception rows are weighted by how often they happen, so totals are the expected time for a typical approved application.</t>
  </si>
  <si>
    <t xml:space="preserve">Blue = input estimate · green = linked from the Inputs sheet · black = formula. Wait = elapsed hours before the activity starts (queues, customer response, handoffs), counted in calendar hours (AS-18).</t>
  </si>
  <si>
    <t xml:space="preserve">Share of all waiting</t>
  </si>
  <si>
    <t xml:space="preserve">Biggest single wait in the stage</t>
  </si>
  <si>
    <t xml:space="preserve">—</t>
  </si>
  <si>
    <t xml:space="preserve">A8 document chase (72 h per round) and A12 employer reply (36 h)</t>
  </si>
  <si>
    <t xml:space="preserve">A15 underwriting queue (24 h)</t>
  </si>
  <si>
    <t xml:space="preserve">A18 deviation approval (36 h, 15% of cases)</t>
  </si>
  <si>
    <t xml:space="preserve">A23 mandate registration (48 h), A21 customer acceptance (36 h), A22 branch visit (24 h)</t>
  </si>
  <si>
    <t xml:space="preserve">Total</t>
  </si>
  <si>
    <t xml:space="preserve">Bottleneck stage (most waiting):</t>
  </si>
  <si>
    <t xml:space="preserve">Second-largest:</t>
  </si>
  <si>
    <t xml:space="preserve">N1</t>
  </si>
  <si>
    <t xml:space="preserve">Apply online and upload documents (replaces A1–A5)</t>
  </si>
  <si>
    <t xml:space="preserve">AS-26</t>
  </si>
  <si>
    <t xml:space="preserve">N2</t>
  </si>
  <si>
    <t xml:space="preserve">Validate completeness and document quality (automatic)</t>
  </si>
  <si>
    <t xml:space="preserve">LOS (system)</t>
  </si>
  <si>
    <t xml:space="preserve">System</t>
  </si>
  <si>
    <t xml:space="preserve">Design</t>
  </si>
  <si>
    <t xml:space="preserve">N3</t>
  </si>
  <si>
    <t xml:space="preserve">Missing-item round via upload link (rework)</t>
  </si>
  <si>
    <t xml:space="preserve">AS-20, AS-21</t>
  </si>
  <si>
    <t xml:space="preserve">N4</t>
  </si>
  <si>
    <t xml:space="preserve">Run e-KYC, PAN, bureau and employment checks (replaces A9, A10, A12, A14)</t>
  </si>
  <si>
    <t xml:space="preserve">N4X</t>
  </si>
  <si>
    <t xml:space="preserve">Resolve verification exception</t>
  </si>
  <si>
    <t xml:space="preserve">N5</t>
  </si>
  <si>
    <t xml:space="preserve">Screen fraud and negative lists (automatic, A13)</t>
  </si>
  <si>
    <t xml:space="preserve">Review screening hit (LOS queue with SLA)</t>
  </si>
  <si>
    <t xml:space="preserve">AS-06, AS-25</t>
  </si>
  <si>
    <t xml:space="preserve">N7</t>
  </si>
  <si>
    <t xml:space="preserve">Calculate DTI and apply policy rules (automatic, A16–A17)</t>
  </si>
  <si>
    <t xml:space="preserve">Review referred application</t>
  </si>
  <si>
    <t xml:space="preserve">Approve deviation in LOS (SLA)</t>
  </si>
  <si>
    <t xml:space="preserve">AS-08, AS-24</t>
  </si>
  <si>
    <t xml:space="preserve">Record credit decision (automatic or by underwriter)</t>
  </si>
  <si>
    <t xml:space="preserve">LOS / Underwriting</t>
  </si>
  <si>
    <t xml:space="preserve">N9</t>
  </si>
  <si>
    <t xml:space="preserve">Issue offer with KFS digitally (A20)</t>
  </si>
  <si>
    <t xml:space="preserve">N6</t>
  </si>
  <si>
    <t xml:space="preserve">Accept offer, e-sign agreement, set up e-mandate (replaces A21–A23)</t>
  </si>
  <si>
    <t xml:space="preserve">N6R</t>
  </si>
  <si>
    <t xml:space="preserve">Confirm e-mandate registration</t>
  </si>
  <si>
    <t xml:space="preserve">Final compliance check (evidence compiled automatically)</t>
  </si>
  <si>
    <t xml:space="preserve">AS-27</t>
  </si>
  <si>
    <t xml:space="preserve">Disburse funds (loan account created via LOS–CBS link)</t>
  </si>
  <si>
    <t xml:space="preserve">Send welcome pack and archive file (automatic)</t>
  </si>
  <si>
    <t xml:space="preserve">To-Be estimates for the redesigned process (loan_origination_to_be.drawio). 'System' rows are automatic steps with no staff touch time.</t>
  </si>
  <si>
    <t xml:space="preserve">From</t>
  </si>
  <si>
    <t xml:space="preserve">To</t>
  </si>
  <si>
    <t xml:space="preserve">Object handed over</t>
  </si>
  <si>
    <t xml:space="preserve">Mechanism</t>
  </si>
  <si>
    <t xml:space="preserve">Is data re-keyed?</t>
  </si>
  <si>
    <t xml:space="preserve">Compared with As-Is</t>
  </si>
  <si>
    <t xml:space="preserve">TH1</t>
  </si>
  <si>
    <t xml:space="preserve">N1 → N2</t>
  </si>
  <si>
    <t xml:space="preserve">Loan system</t>
  </si>
  <si>
    <t xml:space="preserve">Application, documents, e-consent</t>
  </si>
  <si>
    <t xml:space="preserve">Digital form and upload</t>
  </si>
  <si>
    <t xml:space="preserve">No</t>
  </si>
  <si>
    <t xml:space="preserve">Replaces H1 (paper form re-typed) and H2 (branch → Credit Ops)</t>
  </si>
  <si>
    <t xml:space="preserve">TH2</t>
  </si>
  <si>
    <t xml:space="preserve">N9 → N6</t>
  </si>
  <si>
    <t xml:space="preserve">Offer and Key Fact Statement</t>
  </si>
  <si>
    <t xml:space="preserve">App / email</t>
  </si>
  <si>
    <t xml:space="preserve">Replaces H12 (re-keyed into sanction letter) and H13</t>
  </si>
  <si>
    <t xml:space="preserve">TH3</t>
  </si>
  <si>
    <t xml:space="preserve">N6 → N6R</t>
  </si>
  <si>
    <t xml:space="preserve">Acceptance, e-signed agreement, e-mandate</t>
  </si>
  <si>
    <t xml:space="preserve">App (Aadhaar OTP e-sign)</t>
  </si>
  <si>
    <t xml:space="preserve">Replaces H14 (branch visit to sign)</t>
  </si>
  <si>
    <t xml:space="preserve">TH4</t>
  </si>
  <si>
    <t xml:space="preserve">N6R → A24</t>
  </si>
  <si>
    <t xml:space="preserve">File with evidence checklist</t>
  </si>
  <si>
    <t xml:space="preserve">LOS queue</t>
  </si>
  <si>
    <t xml:space="preserve">Replaces H15</t>
  </si>
  <si>
    <t xml:space="preserve">TH5</t>
  </si>
  <si>
    <t xml:space="preserve">A24 → A25</t>
  </si>
  <si>
    <t xml:space="preserve">File cleared for disbursal</t>
  </si>
  <si>
    <t xml:space="preserve">LOS status</t>
  </si>
  <si>
    <t xml:space="preserve">Replaces H16 (re-keyed into core banking)</t>
  </si>
  <si>
    <t xml:space="preserve">TH6</t>
  </si>
  <si>
    <t xml:space="preserve">Funds and welcome pack</t>
  </si>
  <si>
    <t xml:space="preserve">CBS credit + email</t>
  </si>
  <si>
    <t xml:space="preserve">Replaces H17</t>
  </si>
  <si>
    <t xml:space="preserve">TH7</t>
  </si>
  <si>
    <t xml:space="preserve">One list of all missing items</t>
  </si>
  <si>
    <t xml:space="preserve">SMS / email with upload link</t>
  </si>
  <si>
    <t xml:space="preserve">Replaces H3 and H4 (email to branch, call to customer)</t>
  </si>
  <si>
    <t xml:space="preserve">TH8</t>
  </si>
  <si>
    <t xml:space="preserve">N3 → N2</t>
  </si>
  <si>
    <t xml:space="preserve">Missing item</t>
  </si>
  <si>
    <t xml:space="preserve">Upload link</t>
  </si>
  <si>
    <t xml:space="preserve">Replaces H5 and H6 (branch visit, re-scan)</t>
  </si>
  <si>
    <t xml:space="preserve">TH9</t>
  </si>
  <si>
    <t xml:space="preserve">N4 → N4X</t>
  </si>
  <si>
    <t xml:space="preserve">Failed automated check</t>
  </si>
  <si>
    <t xml:space="preserve">LOS exception queue</t>
  </si>
  <si>
    <t xml:space="preserve">New: staff see only failures</t>
  </si>
  <si>
    <t xml:space="preserve">TH10</t>
  </si>
  <si>
    <t xml:space="preserve">N5 → A13R</t>
  </si>
  <si>
    <t xml:space="preserve">Screening hit</t>
  </si>
  <si>
    <t xml:space="preserve">LOS queue with SLA</t>
  </si>
  <si>
    <t xml:space="preserve">Replaces H8 (email)</t>
  </si>
  <si>
    <t xml:space="preserve">TH11</t>
  </si>
  <si>
    <t xml:space="preserve">N7 → A15</t>
  </si>
  <si>
    <t xml:space="preserve">Referred application with reasons</t>
  </si>
  <si>
    <t xml:space="preserve">Replaces H9 for referred cases only</t>
  </si>
  <si>
    <t xml:space="preserve">TH12</t>
  </si>
  <si>
    <t xml:space="preserve">A15 → A18</t>
  </si>
  <si>
    <t xml:space="preserve">Deviation request</t>
  </si>
  <si>
    <t xml:space="preserve">Replaces H10 (email, re-keyed)</t>
  </si>
  <si>
    <t xml:space="preserve">TH13</t>
  </si>
  <si>
    <t xml:space="preserve">A18 → A19</t>
  </si>
  <si>
    <t xml:space="preserve">Deviation decision</t>
  </si>
  <si>
    <t xml:space="preserve">Recorded in LOS</t>
  </si>
  <si>
    <t xml:space="preserve">Replaces H11 (email)</t>
  </si>
  <si>
    <t xml:space="preserve">Counted from loan_origination_to_be.drawio in the same way as the As-Is Handoffs sheet: a handoff is any point where work passes to a different person, team, system or pool. Automatic steps inside the loan system are not counted as handoffs.</t>
  </si>
  <si>
    <t xml:space="preserve">From actor</t>
  </si>
  <si>
    <t xml:space="preserve">To actor</t>
  </si>
  <si>
    <t xml:space="preserve">Wait introduced</t>
  </si>
  <si>
    <t xml:space="preserve">Failure mode</t>
  </si>
  <si>
    <t xml:space="preserve">Source</t>
  </si>
  <si>
    <t xml:space="preserve">H1</t>
  </si>
  <si>
    <t xml:space="preserve">A1 → A2</t>
  </si>
  <si>
    <t xml:space="preserve">Branch Sales Officer</t>
  </si>
  <si>
    <t xml:space="preserve">Signed application form</t>
  </si>
  <si>
    <t xml:space="preserve">Paper form at branch (or web form)</t>
  </si>
  <si>
    <t xml:space="preserve">Yes</t>
  </si>
  <si>
    <t xml:space="preserve">Same day (estimate)</t>
  </si>
  <si>
    <t xml:space="preserve">Form details typed into the LOS by hand; typing errors in name, PAN or DOB cause KYC and bureau mismatches later</t>
  </si>
  <si>
    <t xml:space="preserve">S06; Assumption</t>
  </si>
  <si>
    <t xml:space="preserve">H2</t>
  </si>
  <si>
    <t xml:space="preserve">A6 → A7</t>
  </si>
  <si>
    <t xml:space="preserve">Credit Operations Analyst</t>
  </si>
  <si>
    <t xml:space="preserve">Application file with scanned documents</t>
  </si>
  <si>
    <t xml:space="preserve">DMS scan + LOS queue (originals sometimes couriered)</t>
  </si>
  <si>
    <t xml:space="preserve">Up to 1 working day, plus time in the Credit Ops queue (estimate)</t>
  </si>
  <si>
    <t xml:space="preserve">File held at branch until batch sent; documents scanned under the wrong type or application; poor scan quality</t>
  </si>
  <si>
    <t xml:space="preserve">Assumption</t>
  </si>
  <si>
    <t xml:space="preserve">H3</t>
  </si>
  <si>
    <t xml:space="preserve">A7 → A8</t>
  </si>
  <si>
    <t xml:space="preserve">List of missing / defective documents</t>
  </si>
  <si>
    <t xml:space="preserve">Email</t>
  </si>
  <si>
    <t xml:space="preserve">Hours to 1 working day (estimate)</t>
  </si>
  <si>
    <t xml:space="preserve">Request not picked up promptly at the branch; list only covers the first problem found</t>
  </si>
  <si>
    <t xml:space="preserve">S03, S05; Assumption</t>
  </si>
  <si>
    <t xml:space="preserve">H4</t>
  </si>
  <si>
    <t xml:space="preserve">Request for missing documents</t>
  </si>
  <si>
    <t xml:space="preserve">Phone / SMS</t>
  </si>
  <si>
    <t xml:space="preserve">Several days waiting for the customer (estimate)</t>
  </si>
  <si>
    <t xml:space="preserve">Request passed on verbally and the wrong document is collected; customer unreachable or gives up</t>
  </si>
  <si>
    <t xml:space="preserve">H5</t>
  </si>
  <si>
    <t xml:space="preserve">Missing documents</t>
  </si>
  <si>
    <t xml:space="preserve">Branch visit, email or WhatsApp</t>
  </si>
  <si>
    <t xml:space="preserve">Several days (estimate)</t>
  </si>
  <si>
    <t xml:space="preserve">Document still wrong or unreadable; customer withdraws</t>
  </si>
  <si>
    <t xml:space="preserve">H6</t>
  </si>
  <si>
    <t xml:space="preserve">A8 → A7</t>
  </si>
  <si>
    <t xml:space="preserve">Updated application file</t>
  </si>
  <si>
    <t xml:space="preserve">DMS upload + LOS queue</t>
  </si>
  <si>
    <t xml:space="preserve">Back of the Credit Ops queue again (estimate)</t>
  </si>
  <si>
    <t xml:space="preserve">File waits in the queue a second time; loop can repeat</t>
  </si>
  <si>
    <t xml:space="preserve">H7</t>
  </si>
  <si>
    <t xml:space="preserve">Employer HR (external)</t>
  </si>
  <si>
    <t xml:space="preserve">Employment verification request</t>
  </si>
  <si>
    <t xml:space="preserve">Email / phone</t>
  </si>
  <si>
    <t xml:space="preserve">1–3 working days (estimate)</t>
  </si>
  <si>
    <t xml:space="preserve">Employer does not respond; small employers hard to verify; result kept only in email</t>
  </si>
  <si>
    <t xml:space="preserve">S07; Assumption</t>
  </si>
  <si>
    <t xml:space="preserve">H8</t>
  </si>
  <si>
    <t xml:space="preserve">Risk &amp; Compliance Officer</t>
  </si>
  <si>
    <t xml:space="preserve">Fraud / negative-list screening hit</t>
  </si>
  <si>
    <t xml:space="preserve">1 working day (estimate)</t>
  </si>
  <si>
    <t xml:space="preserve">False positives hold up genuine applications; referral not tracked in the LOS</t>
  </si>
  <si>
    <t xml:space="preserve">S08, S01</t>
  </si>
  <si>
    <t xml:space="preserve">H9</t>
  </si>
  <si>
    <t xml:space="preserve">A14 → A15</t>
  </si>
  <si>
    <t xml:space="preserve">Underwriter</t>
  </si>
  <si>
    <t xml:space="preserve">Verified file with bureau report</t>
  </si>
  <si>
    <t xml:space="preserve">Time in the underwriting queue (estimate)</t>
  </si>
  <si>
    <t xml:space="preserve">Underwriter copies income and obligation figures into a spreadsheet; income checked a second time</t>
  </si>
  <si>
    <t xml:space="preserve">S06, S02</t>
  </si>
  <si>
    <t xml:space="preserve">H10</t>
  </si>
  <si>
    <t xml:space="preserve">Deviation case for approval</t>
  </si>
  <si>
    <t xml:space="preserve">1–2 working days (estimate)</t>
  </si>
  <si>
    <t xml:space="preserve">Case summary retyped into email; approver unavailable; status not visible in the LOS</t>
  </si>
  <si>
    <t xml:space="preserve">S08; Assumption</t>
  </si>
  <si>
    <t xml:space="preserve">H11</t>
  </si>
  <si>
    <t xml:space="preserve">Hours (estimate)</t>
  </si>
  <si>
    <t xml:space="preserve">Decision recorded only in email, not in the LOS</t>
  </si>
  <si>
    <t xml:space="preserve">H12</t>
  </si>
  <si>
    <t xml:space="preserve">A19 → A20</t>
  </si>
  <si>
    <t xml:space="preserve">Disbursement Officer</t>
  </si>
  <si>
    <t xml:space="preserve">Approved credit decision</t>
  </si>
  <si>
    <t xml:space="preserve">Time in the disbursement queue (estimate)</t>
  </si>
  <si>
    <t xml:space="preserve">Loan terms re-entered to generate the sanction letter; wrong figures in the letter</t>
  </si>
  <si>
    <t xml:space="preserve">H13</t>
  </si>
  <si>
    <t xml:space="preserve">A20 → A21</t>
  </si>
  <si>
    <t xml:space="preserve">Sanction letter and Key Fact Statement</t>
  </si>
  <si>
    <t xml:space="preserve">Email or branch</t>
  </si>
  <si>
    <t xml:space="preserve">1–3 days for customer response (estimate)</t>
  </si>
  <si>
    <t xml:space="preserve">Customer delays or does not respond; offer expires</t>
  </si>
  <si>
    <t xml:space="preserve">S02, S06</t>
  </si>
  <si>
    <t xml:space="preserve">H14</t>
  </si>
  <si>
    <t xml:space="preserve">A21 → A22</t>
  </si>
  <si>
    <t xml:space="preserve">Disbursement Officer (via Branch)</t>
  </si>
  <si>
    <t xml:space="preserve">Signed acceptance and loan agreement</t>
  </si>
  <si>
    <t xml:space="preserve">Branch visit (paper) or Aadhaar OTP e-sign</t>
  </si>
  <si>
    <t xml:space="preserve">1–2 days if a branch visit is needed (estimate)</t>
  </si>
  <si>
    <t xml:space="preserve">Unsigned pages or signature mismatch; agreement re-executed</t>
  </si>
  <si>
    <t xml:space="preserve">S04, S02</t>
  </si>
  <si>
    <t xml:space="preserve">H15</t>
  </si>
  <si>
    <t xml:space="preserve">A23 → A24</t>
  </si>
  <si>
    <t xml:space="preserve">Complete file for final compliance check</t>
  </si>
  <si>
    <t xml:space="preserve">Time in the compliance queue (estimate)</t>
  </si>
  <si>
    <t xml:space="preserve">Missing evidence found at the end, sending the file backwards</t>
  </si>
  <si>
    <t xml:space="preserve">S02, S01</t>
  </si>
  <si>
    <t xml:space="preserve">H16</t>
  </si>
  <si>
    <t xml:space="preserve">LOS status update</t>
  </si>
  <si>
    <t xml:space="preserve">Next working day if cleared after the payment cut-off (estimate)</t>
  </si>
  <si>
    <t xml:space="preserve">Loan terms keyed from the LOS into the CBS to create the loan account; beneficiary details wrong</t>
  </si>
  <si>
    <t xml:space="preserve">S02; Assumption (LOS–CBS manual bridge)</t>
  </si>
  <si>
    <t xml:space="preserve">H17</t>
  </si>
  <si>
    <t xml:space="preserve">A25 → A26</t>
  </si>
  <si>
    <t xml:space="preserve">Funds credited and welcome pack</t>
  </si>
  <si>
    <t xml:space="preserve">CBS credit + email/post</t>
  </si>
  <si>
    <t xml:space="preserve">Same day</t>
  </si>
  <si>
    <t xml:space="preserve">Signed documents not sent to the customer; welcome pack delayed</t>
  </si>
  <si>
    <t xml:space="preserve">S02, S07</t>
  </si>
  <si>
    <t xml:space="preserve">Path: Main = happy path every approved application follows; Rework = the document-chase loop (A8), which can repeat; Exception = only for some applications.</t>
  </si>
  <si>
    <t xml:space="preserve">All waits are estimates, to be recorded in 00_assumption_register. Reconstruction from public sources per 07_source_log.</t>
  </si>
  <si>
    <t xml:space="preserve">Purpose</t>
  </si>
  <si>
    <t xml:space="preserve">Who uses it</t>
  </si>
  <si>
    <t xml:space="preserve">Data it holds</t>
  </si>
  <si>
    <t xml:space="preserve">Integration with other systems</t>
  </si>
  <si>
    <t xml:space="preserve">LOS — Loan Origination System</t>
  </si>
  <si>
    <t xml:space="preserve">Records each application and moves it between teams as a workflow queue</t>
  </si>
  <si>
    <t xml:space="preserve">Branch Sales Officer, Credit Operations Analyst, Underwriter, Disbursement Officer, Risk &amp; Compliance Officer</t>
  </si>
  <si>
    <t xml:space="preserve">Application details, status, checks performed, credit decision, sanction terms</t>
  </si>
  <si>
    <t xml:space="preserve">Linked to DMS by application ID. Bureau report pulled through an interface. NOT integrated with CBS — loan terms re-keyed into CBS (manual bridge). KYC results typed in manually.</t>
  </si>
  <si>
    <t xml:space="preserve">S06, S07; integration is Assumption</t>
  </si>
  <si>
    <t xml:space="preserve">DMS — Document Management System</t>
  </si>
  <si>
    <t xml:space="preserve">Stores scanned documents for each application</t>
  </si>
  <si>
    <t xml:space="preserve">Branch Sales Officer (upload), Credit Operations Analyst, Underwriter, Risk &amp; Compliance Officer</t>
  </si>
  <si>
    <t xml:space="preserve">Scanned KYC documents, income proofs, signed agreement, archived loan file</t>
  </si>
  <si>
    <t xml:space="preserve">Linked to LOS by application ID, but documents are tagged manually at scanning. No automatic reading of document content.</t>
  </si>
  <si>
    <t xml:space="preserve">CBS — Core Banking System</t>
  </si>
  <si>
    <t xml:space="preserve">Holds customer accounts; creates the loan account, releases funds and collects EMIs</t>
  </si>
  <si>
    <t xml:space="preserve">Customer accounts, loan account, disbursal and repayment records, mandate</t>
  </si>
  <si>
    <t xml:space="preserve">NOT integrated with LOS for loan creation — terms keyed in by the Disbursement Officer (manual bridge). Linked to mandate registration.</t>
  </si>
  <si>
    <t xml:space="preserve">S02, S04; integration is Assumption</t>
  </si>
  <si>
    <t xml:space="preserve">KYC / CKYC registry</t>
  </si>
  <si>
    <t xml:space="preserve">Central record of customers' verified KYC</t>
  </si>
  <si>
    <t xml:space="preserve">KYC identifier, identity and address details, photograph</t>
  </si>
  <si>
    <t xml:space="preserve">Accessed through a separate portal. Result recorded in the LOS by hand (manual bridge).</t>
  </si>
  <si>
    <t xml:space="preserve">S01</t>
  </si>
  <si>
    <t xml:space="preserve">Credit Bureau interface</t>
  </si>
  <si>
    <t xml:space="preserve">Returns the applicant's credit report and score</t>
  </si>
  <si>
    <t xml:space="preserve">Credit Operations Analyst; report read by Underwriter</t>
  </si>
  <si>
    <t xml:space="preserve">Credit score, existing loans and cards, repayment history</t>
  </si>
  <si>
    <t xml:space="preserve">Report pulled from the LOS and attached to the application (integrated). Obligation figures then copied into the underwriting spreadsheet (manual bridge).</t>
  </si>
  <si>
    <t xml:space="preserve">Informal systems also used: email (H3, H7, H8, H10, H11) and spreadsheets (A15–A16). They hold process data outside the systems above, so their contents are invisible in the LOS.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</si>
</sst>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0%"/>
    <numFmt numFmtId="167" formatCode="#,##0"/>
    <numFmt numFmtId="168" formatCode="0"/>
    <numFmt numFmtId="169" formatCode="@"/>
    <numFmt numFmtId="170" formatCode="0.0%"/>
    <numFmt numFmtId="171" formatCode="General"/>
    <numFmt numFmtId="172" formatCode="0&quot; hours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D6B56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B26B0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D6B56"/>
        <bgColor rgb="FF008080"/>
      </patternFill>
    </fill>
    <fill>
      <patternFill patternType="solid">
        <fgColor rgb="FFE2F0EB"/>
        <bgColor rgb="FFCCFFFF"/>
      </patternFill>
    </fill>
    <fill>
      <patternFill patternType="solid">
        <fgColor rgb="FFFFF2CC"/>
        <bgColor rgb="FFE2F0EB"/>
      </patternFill>
    </fill>
    <fill>
      <patternFill patternType="solid">
        <fgColor rgb="FFFFE699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B2AD"/>
      </left>
      <right style="thin">
        <color rgb="FFA6B2AD"/>
      </right>
      <top style="thin">
        <color rgb="FFA6B2AD"/>
      </top>
      <bottom style="thin">
        <color rgb="FFA6B2AD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B00"/>
      <rgbColor rgb="FF800080"/>
      <rgbColor rgb="FF0D6B56"/>
      <rgbColor rgb="FFB3B3B3"/>
      <rgbColor rgb="FF808080"/>
      <rgbColor rgb="FF9999FF"/>
      <rgbColor rgb="FF993366"/>
      <rgbColor rgb="FFFFF2CC"/>
      <rgbColor rgb="FFE2F0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B2A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Expected waiting time by stage (hours)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Bottleneck!B1</c:f>
              <c:strCache>
                <c:ptCount val="1"/>
                <c:pt idx="0">
                  <c:v>Expected wait (h)</c:v>
                </c:pt>
              </c:strCache>
            </c:strRef>
          </c:tx>
          <c:spPr>
            <a:solidFill>
              <a:srgbClr val="0d6b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Bottleneck!$A$2:$A$6</c:f>
              <c:strCache>
                <c:ptCount val="5"/>
                <c:pt idx="0">
                  <c:v>Capture</c:v>
                </c:pt>
                <c:pt idx="1">
                  <c:v>Verify</c:v>
                </c:pt>
                <c:pt idx="2">
                  <c:v>Assess</c:v>
                </c:pt>
                <c:pt idx="3">
                  <c:v>Decide</c:v>
                </c:pt>
                <c:pt idx="4">
                  <c:v>Close</c:v>
                </c:pt>
              </c:strCache>
            </c:strRef>
          </c:cat>
          <c:val>
            <c:numRef>
              <c:f>Bottleneck!$B$2:$B$6</c:f>
              <c:numCache>
                <c:formatCode>0.0</c:formatCode>
                <c:ptCount val="5"/>
                <c:pt idx="0">
                  <c:v>0</c:v>
                </c:pt>
                <c:pt idx="1">
                  <c:v>106.2</c:v>
                </c:pt>
                <c:pt idx="2">
                  <c:v>26</c:v>
                </c:pt>
                <c:pt idx="3">
                  <c:v>7.4</c:v>
                </c:pt>
                <c:pt idx="4">
                  <c:v>130</c:v>
                </c:pt>
              </c:numCache>
            </c:numRef>
          </c:val>
        </c:ser>
        <c:gapWidth val="150"/>
        <c:overlap val="0"/>
        <c:axId val="14266898"/>
        <c:axId val="36761145"/>
      </c:barChart>
      <c:catAx>
        <c:axId val="1426689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61145"/>
        <c:crosses val="autoZero"/>
        <c:auto val="1"/>
        <c:lblAlgn val="ctr"/>
        <c:lblOffset val="100"/>
        <c:noMultiLvlLbl val="0"/>
      </c:catAx>
      <c:valAx>
        <c:axId val="367611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668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120240</xdr:rowOff>
    </xdr:from>
    <xdr:to>
      <xdr:col>4</xdr:col>
      <xdr:colOff>1107720</xdr:colOff>
      <xdr:row>22</xdr:row>
      <xdr:rowOff>152640</xdr:rowOff>
    </xdr:to>
    <xdr:graphicFrame>
      <xdr:nvGraphicFramePr>
        <xdr:cNvPr id="0" name="Chart 1"/>
        <xdr:cNvGraphicFramePr/>
      </xdr:nvGraphicFramePr>
      <xdr:xfrm>
        <a:off x="0" y="2095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/>
      <c r="C2" s="2"/>
      <c r="D2" s="2"/>
    </row>
    <row r="3" customFormat="false" ht="28.35" hidden="false" customHeight="false" outlineLevel="0" collapsed="false">
      <c r="A3" s="3" t="s">
        <v>5</v>
      </c>
      <c r="B3" s="4" t="n">
        <f aca="false">('Activity times'!K29+'Activity times'!J29/60)/24</f>
        <v>11.4963541666667</v>
      </c>
      <c r="C3" s="3" t="s">
        <v>6</v>
      </c>
      <c r="D3" s="3" t="s">
        <v>7</v>
      </c>
    </row>
    <row r="4" customFormat="false" ht="15" hidden="false" customHeight="false" outlineLevel="0" collapsed="false">
      <c r="A4" s="3" t="s">
        <v>8</v>
      </c>
      <c r="B4" s="4" t="n">
        <f aca="false">(SUMIF('Activity times'!F2:F28,"Main",'Activity times'!I2:I28)+SUMIF('Activity times'!F2:F28,"Main",'Activity times'!H2:H28)/60)/24</f>
        <v>9.70833333333333</v>
      </c>
      <c r="C4" s="3" t="s">
        <v>6</v>
      </c>
      <c r="D4" s="3" t="s">
        <v>9</v>
      </c>
    </row>
    <row r="5" customFormat="false" ht="15" hidden="false" customHeight="false" outlineLevel="0" collapsed="false">
      <c r="A5" s="3" t="s">
        <v>10</v>
      </c>
      <c r="B5" s="4" t="n">
        <f aca="false">'Activity times'!J29/60</f>
        <v>6.3125</v>
      </c>
      <c r="C5" s="3" t="s">
        <v>11</v>
      </c>
      <c r="D5" s="3" t="s">
        <v>12</v>
      </c>
    </row>
    <row r="6" customFormat="false" ht="15" hidden="false" customHeight="false" outlineLevel="0" collapsed="false">
      <c r="A6" s="3" t="s">
        <v>13</v>
      </c>
      <c r="B6" s="4" t="n">
        <f aca="false">SUMIF('Activity times'!E2:E28,"Staff",'Activity times'!J2:J28)/60</f>
        <v>5.8125</v>
      </c>
      <c r="C6" s="3" t="s">
        <v>11</v>
      </c>
      <c r="D6" s="3" t="s">
        <v>14</v>
      </c>
    </row>
    <row r="7" customFormat="false" ht="28.35" hidden="false" customHeight="false" outlineLevel="0" collapsed="false">
      <c r="A7" s="3" t="s">
        <v>15</v>
      </c>
      <c r="B7" s="5" t="n">
        <f aca="false">B5/(B3*24)</f>
        <v>0.022878630000453</v>
      </c>
      <c r="C7" s="3" t="s">
        <v>16</v>
      </c>
      <c r="D7" s="3" t="s">
        <v>17</v>
      </c>
    </row>
    <row r="8" customFormat="false" ht="15" hidden="false" customHeight="false" outlineLevel="0" collapsed="false">
      <c r="A8" s="3" t="s">
        <v>18</v>
      </c>
      <c r="B8" s="5" t="n">
        <f aca="false">1-B7</f>
        <v>0.977121369999547</v>
      </c>
      <c r="C8" s="3" t="s">
        <v>16</v>
      </c>
      <c r="D8" s="3" t="s">
        <v>19</v>
      </c>
    </row>
    <row r="9" customFormat="false" ht="15" hidden="false" customHeight="false" outlineLevel="0" collapsed="false">
      <c r="A9" s="3" t="s">
        <v>20</v>
      </c>
      <c r="B9" s="4" t="n">
        <f aca="false">'Activity times'!K9</f>
        <v>36</v>
      </c>
      <c r="C9" s="3" t="s">
        <v>11</v>
      </c>
      <c r="D9" s="3" t="s">
        <v>21</v>
      </c>
    </row>
    <row r="10" customFormat="false" ht="15" hidden="false" customHeight="false" outlineLevel="0" collapsed="false">
      <c r="A10" s="3" t="s">
        <v>22</v>
      </c>
      <c r="B10" s="5" t="n">
        <f aca="false">B9/(B3*24)</f>
        <v>0.130476147329316</v>
      </c>
      <c r="C10" s="3" t="s">
        <v>16</v>
      </c>
      <c r="D10" s="3" t="s">
        <v>23</v>
      </c>
    </row>
    <row r="11" customFormat="false" ht="15" hidden="false" customHeight="false" outlineLevel="0" collapsed="false">
      <c r="A11" s="3" t="s">
        <v>24</v>
      </c>
      <c r="B11" s="6" t="n">
        <f aca="false">B6*Inputs!$C$8</f>
        <v>11625</v>
      </c>
      <c r="C11" s="3" t="s">
        <v>11</v>
      </c>
      <c r="D11" s="3" t="s">
        <v>25</v>
      </c>
    </row>
    <row r="12" customFormat="false" ht="15" hidden="false" customHeight="false" outlineLevel="0" collapsed="false">
      <c r="A12" s="2" t="s">
        <v>26</v>
      </c>
      <c r="B12" s="2"/>
      <c r="C12" s="2"/>
      <c r="D12" s="2"/>
    </row>
    <row r="13" customFormat="false" ht="15" hidden="false" customHeight="false" outlineLevel="0" collapsed="false">
      <c r="A13" s="3" t="s">
        <v>27</v>
      </c>
      <c r="B13" s="7" t="n">
        <f aca="false">COUNTIF(Handoffs!C2:C18,"Main")</f>
        <v>10</v>
      </c>
      <c r="C13" s="3" t="s">
        <v>28</v>
      </c>
      <c r="D13" s="3" t="s">
        <v>29</v>
      </c>
    </row>
    <row r="14" customFormat="false" ht="15" hidden="false" customHeight="false" outlineLevel="0" collapsed="false">
      <c r="A14" s="3" t="s">
        <v>30</v>
      </c>
      <c r="B14" s="7" t="n">
        <f aca="false">COUNTIF(Handoffs!C2:C18,"Rework")</f>
        <v>4</v>
      </c>
      <c r="C14" s="3" t="s">
        <v>28</v>
      </c>
      <c r="D14" s="3" t="s">
        <v>31</v>
      </c>
    </row>
    <row r="15" customFormat="false" ht="15" hidden="false" customHeight="false" outlineLevel="0" collapsed="false">
      <c r="A15" s="3" t="s">
        <v>32</v>
      </c>
      <c r="B15" s="7" t="n">
        <f aca="false">COUNTIF(Handoffs!C2:C18,"Exception")</f>
        <v>3</v>
      </c>
      <c r="C15" s="3" t="s">
        <v>28</v>
      </c>
      <c r="D15" s="3" t="s">
        <v>33</v>
      </c>
    </row>
    <row r="16" customFormat="false" ht="15" hidden="false" customHeight="false" outlineLevel="0" collapsed="false">
      <c r="A16" s="3" t="s">
        <v>34</v>
      </c>
      <c r="B16" s="7" t="n">
        <f aca="false">COUNTIF(Handoffs!H2:H18,"Yes")</f>
        <v>5</v>
      </c>
      <c r="C16" s="3" t="s">
        <v>28</v>
      </c>
      <c r="D16" s="3" t="s">
        <v>35</v>
      </c>
    </row>
    <row r="17" customFormat="false" ht="15" hidden="false" customHeight="false" outlineLevel="0" collapsed="false">
      <c r="A17" s="3" t="s">
        <v>36</v>
      </c>
      <c r="B17" s="7" t="n">
        <f aca="false">COUNTA(Systems!A2:A6)</f>
        <v>5</v>
      </c>
      <c r="C17" s="3" t="s">
        <v>28</v>
      </c>
      <c r="D17" s="3" t="s">
        <v>37</v>
      </c>
    </row>
    <row r="18" customFormat="false" ht="15" hidden="false" customHeight="false" outlineLevel="0" collapsed="false">
      <c r="A18" s="3" t="s">
        <v>38</v>
      </c>
      <c r="B18" s="7" t="n">
        <f aca="false">COUNTIF(Systems!E2:E6,"*manual bridge*")</f>
        <v>4</v>
      </c>
      <c r="C18" s="3" t="s">
        <v>28</v>
      </c>
      <c r="D18" s="3" t="s">
        <v>39</v>
      </c>
    </row>
    <row r="19" customFormat="false" ht="15" hidden="false" customHeight="false" outlineLevel="0" collapsed="false">
      <c r="A19" s="2" t="s">
        <v>40</v>
      </c>
      <c r="B19" s="2"/>
      <c r="C19" s="2"/>
      <c r="D19" s="2"/>
    </row>
    <row r="20" customFormat="false" ht="15" hidden="false" customHeight="false" outlineLevel="0" collapsed="false">
      <c r="A20" s="3" t="s">
        <v>41</v>
      </c>
      <c r="B20" s="8" t="s">
        <v>42</v>
      </c>
      <c r="C20" s="3" t="s">
        <v>11</v>
      </c>
      <c r="D20" s="3" t="s">
        <v>43</v>
      </c>
    </row>
    <row r="21" customFormat="false" ht="15" hidden="false" customHeight="false" outlineLevel="0" collapsed="false">
      <c r="A21" s="3" t="s">
        <v>44</v>
      </c>
      <c r="B21" s="8" t="s">
        <v>45</v>
      </c>
      <c r="C21" s="3" t="s">
        <v>11</v>
      </c>
      <c r="D21" s="3" t="s">
        <v>46</v>
      </c>
    </row>
    <row r="22" customFormat="false" ht="15" hidden="false" customHeight="false" outlineLevel="0" collapsed="false">
      <c r="A22" s="3" t="s">
        <v>47</v>
      </c>
      <c r="B22" s="8" t="s">
        <v>45</v>
      </c>
      <c r="C22" s="3" t="s">
        <v>11</v>
      </c>
      <c r="D22" s="3" t="s">
        <v>48</v>
      </c>
    </row>
    <row r="24" customFormat="false" ht="15" hidden="false" customHeight="false" outlineLevel="0" collapsed="false">
      <c r="A24" s="9" t="s">
        <v>49</v>
      </c>
    </row>
    <row r="25" customFormat="false" ht="15" hidden="false" customHeight="false" outlineLevel="0" collapsed="false">
      <c r="A25" s="9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" t="s">
        <v>51</v>
      </c>
      <c r="B1" s="1" t="s">
        <v>52</v>
      </c>
      <c r="C1" s="1" t="s">
        <v>53</v>
      </c>
      <c r="D1" s="1" t="s">
        <v>54</v>
      </c>
      <c r="E1" s="1" t="s">
        <v>2</v>
      </c>
    </row>
    <row r="2" customFormat="false" ht="15" hidden="false" customHeight="false" outlineLevel="0" collapsed="false">
      <c r="A2" s="2" t="s">
        <v>4</v>
      </c>
      <c r="B2" s="2"/>
      <c r="C2" s="2"/>
      <c r="D2" s="2"/>
      <c r="E2" s="2"/>
    </row>
    <row r="3" customFormat="false" ht="15" hidden="false" customHeight="false" outlineLevel="0" collapsed="false">
      <c r="A3" s="3" t="s">
        <v>5</v>
      </c>
      <c r="B3" s="10" t="n">
        <f aca="false">Summary!B3</f>
        <v>11.4963541666667</v>
      </c>
      <c r="C3" s="10" t="n">
        <f aca="false">('To-Be times'!K19+'To-Be times'!J19/60)/24</f>
        <v>1.76597222222222</v>
      </c>
      <c r="D3" s="11" t="n">
        <f aca="false">IF(B3=0,"—",(C3-B3)/B3)</f>
        <v>-0.846388498769235</v>
      </c>
      <c r="E3" s="3" t="s">
        <v>6</v>
      </c>
    </row>
    <row r="4" customFormat="false" ht="15" hidden="false" customHeight="false" outlineLevel="0" collapsed="false">
      <c r="A4" s="3" t="s">
        <v>55</v>
      </c>
      <c r="B4" s="10" t="n">
        <f aca="false">Summary!B4</f>
        <v>9.70833333333333</v>
      </c>
      <c r="C4" s="10" t="n">
        <f aca="false">(SUMIF('To-Be times'!F2:F18,"Main",'To-Be times'!I2:I18)+SUMIF('To-Be times'!F2:F18,"Main",'To-Be times'!H2:H18)/60)/24</f>
        <v>1.45625</v>
      </c>
      <c r="D4" s="11" t="n">
        <f aca="false">IF(B4=0,"—",(C4-B4)/B4)</f>
        <v>-0.85</v>
      </c>
      <c r="E4" s="3" t="s">
        <v>6</v>
      </c>
    </row>
    <row r="5" customFormat="false" ht="15" hidden="false" customHeight="false" outlineLevel="0" collapsed="false">
      <c r="A5" s="3" t="s">
        <v>10</v>
      </c>
      <c r="B5" s="10" t="n">
        <f aca="false">Summary!B5</f>
        <v>6.3125</v>
      </c>
      <c r="C5" s="10" t="n">
        <f aca="false">'To-Be times'!J19/60</f>
        <v>1.18333333333333</v>
      </c>
      <c r="D5" s="11" t="n">
        <f aca="false">IF(B5=0,"—",(C5-B5)/B5)</f>
        <v>-0.812541254125412</v>
      </c>
      <c r="E5" s="3" t="s">
        <v>11</v>
      </c>
    </row>
    <row r="6" customFormat="false" ht="15" hidden="false" customHeight="false" outlineLevel="0" collapsed="false">
      <c r="A6" s="3" t="s">
        <v>13</v>
      </c>
      <c r="B6" s="10" t="n">
        <f aca="false">Summary!B6</f>
        <v>5.8125</v>
      </c>
      <c r="C6" s="10" t="n">
        <f aca="false">SUMIF('To-Be times'!E2:E18,"Staff",'To-Be times'!J2:J18)/60</f>
        <v>0.466666666666667</v>
      </c>
      <c r="D6" s="11" t="n">
        <f aca="false">IF(B6=0,"—",(C6-B6)/B6)</f>
        <v>-0.919713261648746</v>
      </c>
      <c r="E6" s="3" t="s">
        <v>11</v>
      </c>
    </row>
    <row r="7" customFormat="false" ht="15" hidden="false" customHeight="false" outlineLevel="0" collapsed="false">
      <c r="A7" s="3" t="s">
        <v>56</v>
      </c>
      <c r="B7" s="12" t="n">
        <f aca="false">Summary!B7</f>
        <v>0.022878630000453</v>
      </c>
      <c r="C7" s="12" t="n">
        <f aca="false">C5/(C3*24)</f>
        <v>0.0279197797876524</v>
      </c>
      <c r="D7" s="11" t="n">
        <f aca="false">IF(B7=0,"—",(C7-B7)/B7)</f>
        <v>0.220343166837329</v>
      </c>
      <c r="E7" s="3" t="s">
        <v>16</v>
      </c>
    </row>
    <row r="8" customFormat="false" ht="15" hidden="false" customHeight="false" outlineLevel="0" collapsed="false">
      <c r="A8" s="3" t="s">
        <v>57</v>
      </c>
      <c r="B8" s="13" t="n">
        <f aca="false">Summary!B11</f>
        <v>11625</v>
      </c>
      <c r="C8" s="13" t="n">
        <f aca="false">C6*Inputs!$C$8</f>
        <v>933.333333333333</v>
      </c>
      <c r="D8" s="11" t="n">
        <f aca="false">IF(B8=0,"—",(C8-B8)/B8)</f>
        <v>-0.919713261648746</v>
      </c>
      <c r="E8" s="3" t="s">
        <v>11</v>
      </c>
    </row>
    <row r="9" customFormat="false" ht="15" hidden="false" customHeight="false" outlineLevel="0" collapsed="false">
      <c r="A9" s="2" t="s">
        <v>58</v>
      </c>
      <c r="B9" s="2"/>
      <c r="C9" s="2"/>
      <c r="D9" s="2"/>
      <c r="E9" s="2"/>
    </row>
    <row r="10" customFormat="false" ht="15" hidden="false" customHeight="false" outlineLevel="0" collapsed="false">
      <c r="A10" s="3" t="s">
        <v>59</v>
      </c>
      <c r="B10" s="14" t="n">
        <f aca="false">Summary!B13</f>
        <v>10</v>
      </c>
      <c r="C10" s="14" t="n">
        <f aca="false">COUNTIF('To-Be handoffs'!C2:C14,"Main")</f>
        <v>6</v>
      </c>
      <c r="D10" s="11" t="n">
        <f aca="false">IF(B10=0,"—",(C10-B10)/B10)</f>
        <v>-0.4</v>
      </c>
      <c r="E10" s="3" t="s">
        <v>28</v>
      </c>
    </row>
    <row r="11" customFormat="false" ht="15" hidden="false" customHeight="false" outlineLevel="0" collapsed="false">
      <c r="A11" s="3" t="s">
        <v>60</v>
      </c>
      <c r="B11" s="14" t="n">
        <f aca="false">Summary!B14</f>
        <v>4</v>
      </c>
      <c r="C11" s="14" t="n">
        <f aca="false">COUNTIF('To-Be handoffs'!C2:C14,"Rework")</f>
        <v>2</v>
      </c>
      <c r="D11" s="11" t="n">
        <f aca="false">IF(B11=0,"—",(C11-B11)/B11)</f>
        <v>-0.5</v>
      </c>
      <c r="E11" s="3" t="s">
        <v>28</v>
      </c>
    </row>
    <row r="12" customFormat="false" ht="15" hidden="false" customHeight="false" outlineLevel="0" collapsed="false">
      <c r="A12" s="3" t="s">
        <v>61</v>
      </c>
      <c r="B12" s="14" t="n">
        <f aca="false">Summary!B16</f>
        <v>5</v>
      </c>
      <c r="C12" s="14" t="n">
        <f aca="false">COUNTIF('To-Be handoffs'!H2:H14,"Yes")</f>
        <v>0</v>
      </c>
      <c r="D12" s="11" t="n">
        <f aca="false">IF(B12=0,"—",(C12-B12)/B12)</f>
        <v>-1</v>
      </c>
      <c r="E12" s="3" t="s">
        <v>28</v>
      </c>
    </row>
    <row r="13" customFormat="false" ht="15" hidden="false" customHeight="false" outlineLevel="0" collapsed="false">
      <c r="A13" s="3" t="s">
        <v>62</v>
      </c>
      <c r="B13" s="10" t="n">
        <f aca="false">Inputs!$C$2*Inputs!$C$3</f>
        <v>0.5</v>
      </c>
      <c r="C13" s="10" t="n">
        <f aca="false">Inputs!$C$9</f>
        <v>0.1</v>
      </c>
      <c r="D13" s="11" t="n">
        <f aca="false">IF(B13=0,"—",(C13-B13)/B13)</f>
        <v>-0.8</v>
      </c>
      <c r="E13" s="3" t="s">
        <v>63</v>
      </c>
    </row>
    <row r="14" customFormat="false" ht="15" hidden="false" customHeight="false" outlineLevel="0" collapsed="false">
      <c r="A14" s="3" t="s">
        <v>38</v>
      </c>
      <c r="B14" s="14" t="n">
        <f aca="false">Summary!B18</f>
        <v>4</v>
      </c>
      <c r="C14" s="15" t="n">
        <v>0</v>
      </c>
      <c r="D14" s="11" t="n">
        <f aca="false">IF(B14=0,"—",(C14-B14)/B14)</f>
        <v>-1</v>
      </c>
      <c r="E14" s="3" t="s">
        <v>28</v>
      </c>
    </row>
    <row r="15" customFormat="false" ht="15" hidden="false" customHeight="false" outlineLevel="0" collapsed="false">
      <c r="A15" s="3" t="s">
        <v>64</v>
      </c>
      <c r="B15" s="14" t="n">
        <f aca="false">COUNTIFS('Activity times'!F2:F28,"Main",'Activity times'!E2:E28,"Staff")</f>
        <v>22</v>
      </c>
      <c r="C15" s="14" t="n">
        <f aca="false">COUNTIFS('To-Be times'!F2:F18,"Main",'To-Be times'!E2:E18,"Staff")</f>
        <v>2</v>
      </c>
      <c r="D15" s="11" t="n">
        <f aca="false">IF(B15=0,"—",(C15-B15)/B15)</f>
        <v>-0.909090909090909</v>
      </c>
      <c r="E15" s="3" t="s">
        <v>28</v>
      </c>
    </row>
    <row r="17" customFormat="false" ht="15" hidden="false" customHeight="false" outlineLevel="0" collapsed="false">
      <c r="A17" s="16" t="s">
        <v>65</v>
      </c>
    </row>
    <row r="18" customFormat="false" ht="15" hidden="false" customHeight="false" outlineLevel="0" collapsed="false">
      <c r="A18" s="17" t="str">
        <f aca="false">"Turnaround from "&amp;TEXT(B3,"0.0")&amp;" to "&amp;TEXT(C3,"0.0")&amp;" days ("&amp;TEXT(-D3,"0%")&amp;" faster); handoffs from "&amp;B10&amp;" to "&amp;C10&amp;"; re-keying from "&amp;B12&amp;" to "&amp;C12&amp;"."</f>
        <v>Turnaround from 11.5 to 1.8 days (85% faster); handoffs from 10 to 6; re-keying from 5 to 0.</v>
      </c>
    </row>
    <row r="20" customFormat="false" ht="15" hidden="false" customHeight="false" outlineLevel="0" collapsed="false">
      <c r="A20" s="9" t="s">
        <v>66</v>
      </c>
    </row>
    <row r="21" customFormat="false" ht="15" hidden="false" customHeight="false" outlineLevel="0" collapsed="false">
      <c r="A21" s="9" t="s">
        <v>67</v>
      </c>
    </row>
    <row r="22" customFormat="false" ht="15" hidden="false" customHeight="false" outlineLevel="0" collapsed="false">
      <c r="A22" s="9" t="s">
        <v>68</v>
      </c>
    </row>
    <row r="23" customFormat="false" ht="15" hidden="false" customHeight="false" outlineLevel="0" collapsed="false">
      <c r="A23" s="9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2</v>
      </c>
    </row>
    <row r="2" customFormat="false" ht="15" hidden="false" customHeight="false" outlineLevel="0" collapsed="false">
      <c r="A2" s="3" t="s">
        <v>73</v>
      </c>
      <c r="B2" s="3" t="s">
        <v>74</v>
      </c>
      <c r="C2" s="18" t="n">
        <v>0.4</v>
      </c>
      <c r="D2" s="3" t="s">
        <v>75</v>
      </c>
    </row>
    <row r="3" customFormat="false" ht="15" hidden="false" customHeight="false" outlineLevel="0" collapsed="false">
      <c r="A3" s="3" t="s">
        <v>76</v>
      </c>
      <c r="B3" s="3" t="s">
        <v>77</v>
      </c>
      <c r="C3" s="19" t="n">
        <v>1.25</v>
      </c>
      <c r="D3" s="3" t="s">
        <v>63</v>
      </c>
    </row>
    <row r="4" customFormat="false" ht="15" hidden="false" customHeight="false" outlineLevel="0" collapsed="false">
      <c r="A4" s="3" t="s">
        <v>78</v>
      </c>
      <c r="B4" s="3" t="s">
        <v>79</v>
      </c>
      <c r="C4" s="19" t="n">
        <v>72</v>
      </c>
      <c r="D4" s="3" t="s">
        <v>11</v>
      </c>
    </row>
    <row r="5" customFormat="false" ht="15" hidden="false" customHeight="false" outlineLevel="0" collapsed="false">
      <c r="A5" s="3" t="s">
        <v>80</v>
      </c>
      <c r="B5" s="3" t="s">
        <v>81</v>
      </c>
      <c r="C5" s="19" t="n">
        <v>30</v>
      </c>
      <c r="D5" s="3" t="s">
        <v>82</v>
      </c>
    </row>
    <row r="6" customFormat="false" ht="15" hidden="false" customHeight="false" outlineLevel="0" collapsed="false">
      <c r="A6" s="3" t="s">
        <v>83</v>
      </c>
      <c r="B6" s="3" t="s">
        <v>84</v>
      </c>
      <c r="C6" s="18" t="n">
        <v>0.05</v>
      </c>
      <c r="D6" s="3" t="s">
        <v>75</v>
      </c>
    </row>
    <row r="7" customFormat="false" ht="15" hidden="false" customHeight="false" outlineLevel="0" collapsed="false">
      <c r="A7" s="3" t="s">
        <v>85</v>
      </c>
      <c r="B7" s="3" t="s">
        <v>86</v>
      </c>
      <c r="C7" s="18" t="n">
        <v>0.15</v>
      </c>
      <c r="D7" s="3" t="s">
        <v>75</v>
      </c>
    </row>
    <row r="8" customFormat="false" ht="15" hidden="false" customHeight="false" outlineLevel="0" collapsed="false">
      <c r="A8" s="3" t="s">
        <v>87</v>
      </c>
      <c r="B8" s="3" t="s">
        <v>88</v>
      </c>
      <c r="C8" s="19" t="n">
        <v>2000</v>
      </c>
      <c r="D8" s="3" t="s">
        <v>89</v>
      </c>
    </row>
    <row r="9" customFormat="false" ht="15" hidden="false" customHeight="false" outlineLevel="0" collapsed="false">
      <c r="A9" s="3" t="s">
        <v>90</v>
      </c>
      <c r="B9" s="3" t="s">
        <v>91</v>
      </c>
      <c r="C9" s="18" t="n">
        <v>0.1</v>
      </c>
      <c r="D9" s="3" t="s">
        <v>75</v>
      </c>
    </row>
    <row r="10" customFormat="false" ht="15" hidden="false" customHeight="false" outlineLevel="0" collapsed="false">
      <c r="A10" s="3" t="s">
        <v>92</v>
      </c>
      <c r="B10" s="3" t="s">
        <v>93</v>
      </c>
      <c r="C10" s="18" t="n">
        <v>0.1</v>
      </c>
      <c r="D10" s="3" t="s">
        <v>75</v>
      </c>
    </row>
    <row r="11" customFormat="false" ht="15" hidden="false" customHeight="false" outlineLevel="0" collapsed="false">
      <c r="A11" s="3" t="s">
        <v>94</v>
      </c>
      <c r="B11" s="3" t="s">
        <v>95</v>
      </c>
      <c r="C11" s="18" t="n">
        <v>0.35</v>
      </c>
      <c r="D11" s="3" t="s">
        <v>75</v>
      </c>
    </row>
    <row r="13" customFormat="false" ht="15" hidden="false" customHeight="false" outlineLevel="0" collapsed="false">
      <c r="A13" s="9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23.85" hidden="false" customHeight="false" outlineLevel="0" collapsed="false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</row>
    <row r="2" customFormat="false" ht="15" hidden="false" customHeight="false" outlineLevel="0" collapsed="false">
      <c r="A2" s="3" t="s">
        <v>109</v>
      </c>
      <c r="B2" s="3" t="s">
        <v>110</v>
      </c>
      <c r="C2" s="3" t="s">
        <v>111</v>
      </c>
      <c r="D2" s="3" t="s">
        <v>112</v>
      </c>
      <c r="E2" s="3" t="s">
        <v>112</v>
      </c>
      <c r="F2" s="3" t="s">
        <v>113</v>
      </c>
      <c r="G2" s="20" t="n">
        <v>1</v>
      </c>
      <c r="H2" s="21" t="n">
        <v>20</v>
      </c>
      <c r="I2" s="21" t="n">
        <v>0</v>
      </c>
      <c r="J2" s="10" t="n">
        <f aca="false">G2*H2</f>
        <v>20</v>
      </c>
      <c r="K2" s="10" t="n">
        <f aca="false">G2*I2</f>
        <v>0</v>
      </c>
      <c r="L2" s="3" t="s">
        <v>114</v>
      </c>
    </row>
    <row r="3" customFormat="false" ht="15" hidden="false" customHeight="false" outlineLevel="0" collapsed="false">
      <c r="A3" s="3" t="s">
        <v>115</v>
      </c>
      <c r="B3" s="3" t="s">
        <v>116</v>
      </c>
      <c r="C3" s="3" t="s">
        <v>111</v>
      </c>
      <c r="D3" s="3" t="s">
        <v>117</v>
      </c>
      <c r="E3" s="3" t="s">
        <v>118</v>
      </c>
      <c r="F3" s="3" t="s">
        <v>113</v>
      </c>
      <c r="G3" s="20" t="n">
        <v>1</v>
      </c>
      <c r="H3" s="21" t="n">
        <v>20</v>
      </c>
      <c r="I3" s="21" t="n">
        <v>0</v>
      </c>
      <c r="J3" s="10" t="n">
        <f aca="false">G3*H3</f>
        <v>20</v>
      </c>
      <c r="K3" s="10" t="n">
        <f aca="false">G3*I3</f>
        <v>0</v>
      </c>
      <c r="L3" s="3" t="s">
        <v>119</v>
      </c>
    </row>
    <row r="4" customFormat="false" ht="15" hidden="false" customHeight="false" outlineLevel="0" collapsed="false">
      <c r="A4" s="3" t="s">
        <v>120</v>
      </c>
      <c r="B4" s="3" t="s">
        <v>121</v>
      </c>
      <c r="C4" s="3" t="s">
        <v>111</v>
      </c>
      <c r="D4" s="3" t="s">
        <v>117</v>
      </c>
      <c r="E4" s="3" t="s">
        <v>118</v>
      </c>
      <c r="F4" s="3" t="s">
        <v>113</v>
      </c>
      <c r="G4" s="20" t="n">
        <v>1</v>
      </c>
      <c r="H4" s="21" t="n">
        <v>15</v>
      </c>
      <c r="I4" s="21" t="n">
        <v>0</v>
      </c>
      <c r="J4" s="10" t="n">
        <f aca="false">G4*H4</f>
        <v>15</v>
      </c>
      <c r="K4" s="10" t="n">
        <f aca="false">G4*I4</f>
        <v>0</v>
      </c>
      <c r="L4" s="3" t="s">
        <v>114</v>
      </c>
    </row>
    <row r="5" customFormat="false" ht="15" hidden="false" customHeight="false" outlineLevel="0" collapsed="false">
      <c r="A5" s="3" t="s">
        <v>122</v>
      </c>
      <c r="B5" s="3" t="s">
        <v>123</v>
      </c>
      <c r="C5" s="3" t="s">
        <v>111</v>
      </c>
      <c r="D5" s="3" t="s">
        <v>117</v>
      </c>
      <c r="E5" s="3" t="s">
        <v>118</v>
      </c>
      <c r="F5" s="3" t="s">
        <v>113</v>
      </c>
      <c r="G5" s="20" t="n">
        <v>1</v>
      </c>
      <c r="H5" s="21" t="n">
        <v>15</v>
      </c>
      <c r="I5" s="21" t="n">
        <v>0</v>
      </c>
      <c r="J5" s="10" t="n">
        <f aca="false">G5*H5</f>
        <v>15</v>
      </c>
      <c r="K5" s="10" t="n">
        <f aca="false">G5*I5</f>
        <v>0</v>
      </c>
      <c r="L5" s="3" t="s">
        <v>114</v>
      </c>
    </row>
    <row r="6" customFormat="false" ht="15" hidden="false" customHeight="false" outlineLevel="0" collapsed="false">
      <c r="A6" s="3" t="s">
        <v>124</v>
      </c>
      <c r="B6" s="3" t="s">
        <v>125</v>
      </c>
      <c r="C6" s="3" t="s">
        <v>111</v>
      </c>
      <c r="D6" s="3" t="s">
        <v>117</v>
      </c>
      <c r="E6" s="3" t="s">
        <v>118</v>
      </c>
      <c r="F6" s="3" t="s">
        <v>113</v>
      </c>
      <c r="G6" s="20" t="n">
        <v>1</v>
      </c>
      <c r="H6" s="21" t="n">
        <v>5</v>
      </c>
      <c r="I6" s="21" t="n">
        <v>0</v>
      </c>
      <c r="J6" s="10" t="n">
        <f aca="false">G6*H6</f>
        <v>5</v>
      </c>
      <c r="K6" s="10" t="n">
        <f aca="false">G6*I6</f>
        <v>0</v>
      </c>
      <c r="L6" s="3" t="s">
        <v>114</v>
      </c>
    </row>
    <row r="7" customFormat="false" ht="15" hidden="false" customHeight="false" outlineLevel="0" collapsed="false">
      <c r="A7" s="3" t="s">
        <v>126</v>
      </c>
      <c r="B7" s="3" t="s">
        <v>127</v>
      </c>
      <c r="C7" s="3" t="s">
        <v>111</v>
      </c>
      <c r="D7" s="3" t="s">
        <v>117</v>
      </c>
      <c r="E7" s="3" t="s">
        <v>118</v>
      </c>
      <c r="F7" s="3" t="s">
        <v>113</v>
      </c>
      <c r="G7" s="20" t="n">
        <v>1</v>
      </c>
      <c r="H7" s="21" t="n">
        <v>15</v>
      </c>
      <c r="I7" s="21" t="n">
        <v>0</v>
      </c>
      <c r="J7" s="10" t="n">
        <f aca="false">G7*H7</f>
        <v>15</v>
      </c>
      <c r="K7" s="10" t="n">
        <f aca="false">G7*I7</f>
        <v>0</v>
      </c>
      <c r="L7" s="3" t="s">
        <v>128</v>
      </c>
    </row>
    <row r="8" customFormat="false" ht="15" hidden="false" customHeight="false" outlineLevel="0" collapsed="false">
      <c r="A8" s="3" t="s">
        <v>129</v>
      </c>
      <c r="B8" s="3" t="s">
        <v>130</v>
      </c>
      <c r="C8" s="3" t="s">
        <v>131</v>
      </c>
      <c r="D8" s="3" t="s">
        <v>132</v>
      </c>
      <c r="E8" s="3" t="s">
        <v>118</v>
      </c>
      <c r="F8" s="3" t="s">
        <v>113</v>
      </c>
      <c r="G8" s="20" t="n">
        <v>1</v>
      </c>
      <c r="H8" s="21" t="n">
        <v>15</v>
      </c>
      <c r="I8" s="21" t="n">
        <v>24</v>
      </c>
      <c r="J8" s="10" t="n">
        <f aca="false">G8*H8</f>
        <v>15</v>
      </c>
      <c r="K8" s="10" t="n">
        <f aca="false">G8*I8</f>
        <v>24</v>
      </c>
      <c r="L8" s="3" t="s">
        <v>133</v>
      </c>
    </row>
    <row r="9" customFormat="false" ht="28.35" hidden="false" customHeight="false" outlineLevel="0" collapsed="false">
      <c r="A9" s="3" t="s">
        <v>134</v>
      </c>
      <c r="B9" s="3" t="s">
        <v>135</v>
      </c>
      <c r="C9" s="3" t="s">
        <v>131</v>
      </c>
      <c r="D9" s="3" t="s">
        <v>136</v>
      </c>
      <c r="E9" s="3" t="s">
        <v>118</v>
      </c>
      <c r="F9" s="3" t="s">
        <v>137</v>
      </c>
      <c r="G9" s="22" t="n">
        <f aca="false">Inputs!$C$2*Inputs!$C$3</f>
        <v>0.5</v>
      </c>
      <c r="H9" s="23" t="n">
        <f aca="false">Inputs!$C$5</f>
        <v>30</v>
      </c>
      <c r="I9" s="23" t="n">
        <f aca="false">Inputs!$C$4</f>
        <v>72</v>
      </c>
      <c r="J9" s="10" t="n">
        <f aca="false">G9*H9</f>
        <v>15</v>
      </c>
      <c r="K9" s="10" t="n">
        <f aca="false">G9*I9</f>
        <v>36</v>
      </c>
      <c r="L9" s="3" t="s">
        <v>138</v>
      </c>
    </row>
    <row r="10" customFormat="false" ht="15" hidden="false" customHeight="false" outlineLevel="0" collapsed="false">
      <c r="A10" s="3" t="s">
        <v>139</v>
      </c>
      <c r="B10" s="3" t="s">
        <v>140</v>
      </c>
      <c r="C10" s="3" t="s">
        <v>131</v>
      </c>
      <c r="D10" s="3" t="s">
        <v>132</v>
      </c>
      <c r="E10" s="3" t="s">
        <v>118</v>
      </c>
      <c r="F10" s="3" t="s">
        <v>113</v>
      </c>
      <c r="G10" s="20" t="n">
        <v>1</v>
      </c>
      <c r="H10" s="21" t="n">
        <v>15</v>
      </c>
      <c r="I10" s="21" t="n">
        <v>4</v>
      </c>
      <c r="J10" s="10" t="n">
        <f aca="false">G10*H10</f>
        <v>15</v>
      </c>
      <c r="K10" s="10" t="n">
        <f aca="false">G10*I10</f>
        <v>4</v>
      </c>
      <c r="L10" s="3" t="s">
        <v>141</v>
      </c>
    </row>
    <row r="11" customFormat="false" ht="15" hidden="false" customHeight="false" outlineLevel="0" collapsed="false">
      <c r="A11" s="3" t="s">
        <v>142</v>
      </c>
      <c r="B11" s="3" t="s">
        <v>143</v>
      </c>
      <c r="C11" s="3" t="s">
        <v>131</v>
      </c>
      <c r="D11" s="3" t="s">
        <v>132</v>
      </c>
      <c r="E11" s="3" t="s">
        <v>118</v>
      </c>
      <c r="F11" s="3" t="s">
        <v>113</v>
      </c>
      <c r="G11" s="20" t="n">
        <v>1</v>
      </c>
      <c r="H11" s="21" t="n">
        <v>10</v>
      </c>
      <c r="I11" s="21" t="n">
        <v>1</v>
      </c>
      <c r="J11" s="10" t="n">
        <f aca="false">G11*H11</f>
        <v>10</v>
      </c>
      <c r="K11" s="10" t="n">
        <f aca="false">G11*I11</f>
        <v>1</v>
      </c>
      <c r="L11" s="3" t="s">
        <v>144</v>
      </c>
    </row>
    <row r="12" customFormat="false" ht="15" hidden="false" customHeight="false" outlineLevel="0" collapsed="false">
      <c r="A12" s="3" t="s">
        <v>145</v>
      </c>
      <c r="B12" s="3" t="s">
        <v>146</v>
      </c>
      <c r="C12" s="3" t="s">
        <v>131</v>
      </c>
      <c r="D12" s="3" t="s">
        <v>132</v>
      </c>
      <c r="E12" s="3" t="s">
        <v>118</v>
      </c>
      <c r="F12" s="3" t="s">
        <v>113</v>
      </c>
      <c r="G12" s="20" t="n">
        <v>1</v>
      </c>
      <c r="H12" s="21" t="n">
        <v>20</v>
      </c>
      <c r="I12" s="21" t="n">
        <v>2</v>
      </c>
      <c r="J12" s="10" t="n">
        <f aca="false">G12*H12</f>
        <v>20</v>
      </c>
      <c r="K12" s="10" t="n">
        <f aca="false">G12*I12</f>
        <v>2</v>
      </c>
      <c r="L12" s="3" t="s">
        <v>141</v>
      </c>
    </row>
    <row r="13" customFormat="false" ht="15" hidden="false" customHeight="false" outlineLevel="0" collapsed="false">
      <c r="A13" s="3" t="s">
        <v>147</v>
      </c>
      <c r="B13" s="3" t="s">
        <v>148</v>
      </c>
      <c r="C13" s="3" t="s">
        <v>131</v>
      </c>
      <c r="D13" s="3" t="s">
        <v>132</v>
      </c>
      <c r="E13" s="3" t="s">
        <v>118</v>
      </c>
      <c r="F13" s="3" t="s">
        <v>113</v>
      </c>
      <c r="G13" s="20" t="n">
        <v>1</v>
      </c>
      <c r="H13" s="21" t="n">
        <v>15</v>
      </c>
      <c r="I13" s="21" t="n">
        <v>36</v>
      </c>
      <c r="J13" s="10" t="n">
        <f aca="false">G13*H13</f>
        <v>15</v>
      </c>
      <c r="K13" s="10" t="n">
        <f aca="false">G13*I13</f>
        <v>36</v>
      </c>
      <c r="L13" s="3" t="s">
        <v>149</v>
      </c>
    </row>
    <row r="14" customFormat="false" ht="15" hidden="false" customHeight="false" outlineLevel="0" collapsed="false">
      <c r="A14" s="3" t="s">
        <v>150</v>
      </c>
      <c r="B14" s="3" t="s">
        <v>151</v>
      </c>
      <c r="C14" s="3" t="s">
        <v>131</v>
      </c>
      <c r="D14" s="3" t="s">
        <v>132</v>
      </c>
      <c r="E14" s="3" t="s">
        <v>118</v>
      </c>
      <c r="F14" s="3" t="s">
        <v>113</v>
      </c>
      <c r="G14" s="20" t="n">
        <v>1</v>
      </c>
      <c r="H14" s="21" t="n">
        <v>10</v>
      </c>
      <c r="I14" s="21" t="n">
        <v>2</v>
      </c>
      <c r="J14" s="10" t="n">
        <f aca="false">G14*H14</f>
        <v>10</v>
      </c>
      <c r="K14" s="10" t="n">
        <f aca="false">G14*I14</f>
        <v>2</v>
      </c>
      <c r="L14" s="3" t="s">
        <v>141</v>
      </c>
    </row>
    <row r="15" customFormat="false" ht="15" hidden="false" customHeight="false" outlineLevel="0" collapsed="false">
      <c r="A15" s="3" t="s">
        <v>152</v>
      </c>
      <c r="B15" s="3" t="s">
        <v>153</v>
      </c>
      <c r="C15" s="3" t="s">
        <v>131</v>
      </c>
      <c r="D15" s="3" t="s">
        <v>154</v>
      </c>
      <c r="E15" s="3" t="s">
        <v>118</v>
      </c>
      <c r="F15" s="3" t="s">
        <v>155</v>
      </c>
      <c r="G15" s="22" t="n">
        <f aca="false">Inputs!$C$6</f>
        <v>0.05</v>
      </c>
      <c r="H15" s="21" t="n">
        <v>15</v>
      </c>
      <c r="I15" s="21" t="n">
        <v>24</v>
      </c>
      <c r="J15" s="10" t="n">
        <f aca="false">G15*H15</f>
        <v>0.75</v>
      </c>
      <c r="K15" s="10" t="n">
        <f aca="false">G15*I15</f>
        <v>1.2</v>
      </c>
      <c r="L15" s="3" t="s">
        <v>156</v>
      </c>
    </row>
    <row r="16" customFormat="false" ht="15" hidden="false" customHeight="false" outlineLevel="0" collapsed="false">
      <c r="A16" s="3" t="s">
        <v>157</v>
      </c>
      <c r="B16" s="3" t="s">
        <v>158</v>
      </c>
      <c r="C16" s="3" t="s">
        <v>159</v>
      </c>
      <c r="D16" s="3" t="s">
        <v>132</v>
      </c>
      <c r="E16" s="3" t="s">
        <v>118</v>
      </c>
      <c r="F16" s="3" t="s">
        <v>113</v>
      </c>
      <c r="G16" s="20" t="n">
        <v>1</v>
      </c>
      <c r="H16" s="21" t="n">
        <v>5</v>
      </c>
      <c r="I16" s="21" t="n">
        <v>1</v>
      </c>
      <c r="J16" s="10" t="n">
        <f aca="false">G16*H16</f>
        <v>5</v>
      </c>
      <c r="K16" s="10" t="n">
        <f aca="false">G16*I16</f>
        <v>1</v>
      </c>
      <c r="L16" s="3" t="s">
        <v>141</v>
      </c>
    </row>
    <row r="17" customFormat="false" ht="15" hidden="false" customHeight="false" outlineLevel="0" collapsed="false">
      <c r="A17" s="3" t="s">
        <v>160</v>
      </c>
      <c r="B17" s="3" t="s">
        <v>161</v>
      </c>
      <c r="C17" s="3" t="s">
        <v>159</v>
      </c>
      <c r="D17" s="3" t="s">
        <v>162</v>
      </c>
      <c r="E17" s="3" t="s">
        <v>118</v>
      </c>
      <c r="F17" s="3" t="s">
        <v>113</v>
      </c>
      <c r="G17" s="20" t="n">
        <v>1</v>
      </c>
      <c r="H17" s="21" t="n">
        <v>30</v>
      </c>
      <c r="I17" s="21" t="n">
        <v>24</v>
      </c>
      <c r="J17" s="10" t="n">
        <f aca="false">G17*H17</f>
        <v>30</v>
      </c>
      <c r="K17" s="10" t="n">
        <f aca="false">G17*I17</f>
        <v>24</v>
      </c>
      <c r="L17" s="3" t="s">
        <v>163</v>
      </c>
    </row>
    <row r="18" customFormat="false" ht="15" hidden="false" customHeight="false" outlineLevel="0" collapsed="false">
      <c r="A18" s="3" t="s">
        <v>164</v>
      </c>
      <c r="B18" s="3" t="s">
        <v>165</v>
      </c>
      <c r="C18" s="3" t="s">
        <v>159</v>
      </c>
      <c r="D18" s="3" t="s">
        <v>162</v>
      </c>
      <c r="E18" s="3" t="s">
        <v>118</v>
      </c>
      <c r="F18" s="3" t="s">
        <v>113</v>
      </c>
      <c r="G18" s="20" t="n">
        <v>1</v>
      </c>
      <c r="H18" s="21" t="n">
        <v>15</v>
      </c>
      <c r="I18" s="21" t="n">
        <v>0</v>
      </c>
      <c r="J18" s="10" t="n">
        <f aca="false">G18*H18</f>
        <v>15</v>
      </c>
      <c r="K18" s="10" t="n">
        <f aca="false">G18*I18</f>
        <v>0</v>
      </c>
      <c r="L18" s="3" t="s">
        <v>166</v>
      </c>
    </row>
    <row r="19" customFormat="false" ht="15" hidden="false" customHeight="false" outlineLevel="0" collapsed="false">
      <c r="A19" s="3" t="s">
        <v>167</v>
      </c>
      <c r="B19" s="3" t="s">
        <v>168</v>
      </c>
      <c r="C19" s="3" t="s">
        <v>159</v>
      </c>
      <c r="D19" s="3" t="s">
        <v>162</v>
      </c>
      <c r="E19" s="3" t="s">
        <v>118</v>
      </c>
      <c r="F19" s="3" t="s">
        <v>113</v>
      </c>
      <c r="G19" s="20" t="n">
        <v>1</v>
      </c>
      <c r="H19" s="21" t="n">
        <v>15</v>
      </c>
      <c r="I19" s="21" t="n">
        <v>1</v>
      </c>
      <c r="J19" s="10" t="n">
        <f aca="false">G19*H19</f>
        <v>15</v>
      </c>
      <c r="K19" s="10" t="n">
        <f aca="false">G19*I19</f>
        <v>1</v>
      </c>
      <c r="L19" s="3" t="s">
        <v>169</v>
      </c>
    </row>
    <row r="20" customFormat="false" ht="28.35" hidden="false" customHeight="false" outlineLevel="0" collapsed="false">
      <c r="A20" s="3" t="s">
        <v>170</v>
      </c>
      <c r="B20" s="3" t="s">
        <v>171</v>
      </c>
      <c r="C20" s="3" t="s">
        <v>172</v>
      </c>
      <c r="D20" s="3" t="s">
        <v>173</v>
      </c>
      <c r="E20" s="3" t="s">
        <v>118</v>
      </c>
      <c r="F20" s="3" t="s">
        <v>155</v>
      </c>
      <c r="G20" s="22" t="n">
        <f aca="false">Inputs!$C$7</f>
        <v>0.15</v>
      </c>
      <c r="H20" s="21" t="n">
        <v>20</v>
      </c>
      <c r="I20" s="21" t="n">
        <v>36</v>
      </c>
      <c r="J20" s="10" t="n">
        <f aca="false">G20*H20</f>
        <v>3</v>
      </c>
      <c r="K20" s="10" t="n">
        <f aca="false">G20*I20</f>
        <v>5.4</v>
      </c>
      <c r="L20" s="3" t="s">
        <v>174</v>
      </c>
    </row>
    <row r="21" customFormat="false" ht="15" hidden="false" customHeight="false" outlineLevel="0" collapsed="false">
      <c r="A21" s="3" t="s">
        <v>175</v>
      </c>
      <c r="B21" s="3" t="s">
        <v>176</v>
      </c>
      <c r="C21" s="3" t="s">
        <v>172</v>
      </c>
      <c r="D21" s="3" t="s">
        <v>162</v>
      </c>
      <c r="E21" s="3" t="s">
        <v>118</v>
      </c>
      <c r="F21" s="3" t="s">
        <v>113</v>
      </c>
      <c r="G21" s="20" t="n">
        <v>1</v>
      </c>
      <c r="H21" s="21" t="n">
        <v>10</v>
      </c>
      <c r="I21" s="21" t="n">
        <v>2</v>
      </c>
      <c r="J21" s="10" t="n">
        <f aca="false">G21*H21</f>
        <v>10</v>
      </c>
      <c r="K21" s="10" t="n">
        <f aca="false">G21*I21</f>
        <v>2</v>
      </c>
      <c r="L21" s="3" t="s">
        <v>177</v>
      </c>
    </row>
    <row r="22" customFormat="false" ht="15" hidden="false" customHeight="false" outlineLevel="0" collapsed="false">
      <c r="A22" s="3" t="s">
        <v>178</v>
      </c>
      <c r="B22" s="3" t="s">
        <v>179</v>
      </c>
      <c r="C22" s="3" t="s">
        <v>180</v>
      </c>
      <c r="D22" s="3" t="s">
        <v>181</v>
      </c>
      <c r="E22" s="3" t="s">
        <v>118</v>
      </c>
      <c r="F22" s="3" t="s">
        <v>113</v>
      </c>
      <c r="G22" s="20" t="n">
        <v>1</v>
      </c>
      <c r="H22" s="21" t="n">
        <v>20</v>
      </c>
      <c r="I22" s="21" t="n">
        <v>8</v>
      </c>
      <c r="J22" s="10" t="n">
        <f aca="false">G22*H22</f>
        <v>20</v>
      </c>
      <c r="K22" s="10" t="n">
        <f aca="false">G22*I22</f>
        <v>8</v>
      </c>
      <c r="L22" s="3" t="s">
        <v>182</v>
      </c>
    </row>
    <row r="23" customFormat="false" ht="15" hidden="false" customHeight="false" outlineLevel="0" collapsed="false">
      <c r="A23" s="3" t="s">
        <v>183</v>
      </c>
      <c r="B23" s="3" t="s">
        <v>184</v>
      </c>
      <c r="C23" s="3" t="s">
        <v>180</v>
      </c>
      <c r="D23" s="3" t="s">
        <v>112</v>
      </c>
      <c r="E23" s="3" t="s">
        <v>112</v>
      </c>
      <c r="F23" s="3" t="s">
        <v>113</v>
      </c>
      <c r="G23" s="20" t="n">
        <v>1</v>
      </c>
      <c r="H23" s="21" t="n">
        <v>10</v>
      </c>
      <c r="I23" s="21" t="n">
        <v>36</v>
      </c>
      <c r="J23" s="10" t="n">
        <f aca="false">G23*H23</f>
        <v>10</v>
      </c>
      <c r="K23" s="10" t="n">
        <f aca="false">G23*I23</f>
        <v>36</v>
      </c>
      <c r="L23" s="3" t="s">
        <v>185</v>
      </c>
    </row>
    <row r="24" customFormat="false" ht="28.35" hidden="false" customHeight="false" outlineLevel="0" collapsed="false">
      <c r="A24" s="3" t="s">
        <v>186</v>
      </c>
      <c r="B24" s="3" t="s">
        <v>187</v>
      </c>
      <c r="C24" s="3" t="s">
        <v>180</v>
      </c>
      <c r="D24" s="3" t="s">
        <v>188</v>
      </c>
      <c r="E24" s="3" t="s">
        <v>118</v>
      </c>
      <c r="F24" s="3" t="s">
        <v>113</v>
      </c>
      <c r="G24" s="20" t="n">
        <v>1</v>
      </c>
      <c r="H24" s="21" t="n">
        <v>20</v>
      </c>
      <c r="I24" s="21" t="n">
        <v>24</v>
      </c>
      <c r="J24" s="10" t="n">
        <f aca="false">G24*H24</f>
        <v>20</v>
      </c>
      <c r="K24" s="10" t="n">
        <f aca="false">G24*I24</f>
        <v>24</v>
      </c>
      <c r="L24" s="3" t="s">
        <v>189</v>
      </c>
    </row>
    <row r="25" customFormat="false" ht="15" hidden="false" customHeight="false" outlineLevel="0" collapsed="false">
      <c r="A25" s="3" t="s">
        <v>190</v>
      </c>
      <c r="B25" s="3" t="s">
        <v>191</v>
      </c>
      <c r="C25" s="3" t="s">
        <v>180</v>
      </c>
      <c r="D25" s="3" t="s">
        <v>181</v>
      </c>
      <c r="E25" s="3" t="s">
        <v>118</v>
      </c>
      <c r="F25" s="3" t="s">
        <v>113</v>
      </c>
      <c r="G25" s="20" t="n">
        <v>1</v>
      </c>
      <c r="H25" s="21" t="n">
        <v>15</v>
      </c>
      <c r="I25" s="21" t="n">
        <v>48</v>
      </c>
      <c r="J25" s="10" t="n">
        <f aca="false">G25*H25</f>
        <v>15</v>
      </c>
      <c r="K25" s="10" t="n">
        <f aca="false">G25*I25</f>
        <v>48</v>
      </c>
      <c r="L25" s="3" t="s">
        <v>192</v>
      </c>
    </row>
    <row r="26" customFormat="false" ht="15" hidden="false" customHeight="false" outlineLevel="0" collapsed="false">
      <c r="A26" s="3" t="s">
        <v>193</v>
      </c>
      <c r="B26" s="3" t="s">
        <v>194</v>
      </c>
      <c r="C26" s="3" t="s">
        <v>180</v>
      </c>
      <c r="D26" s="3" t="s">
        <v>154</v>
      </c>
      <c r="E26" s="3" t="s">
        <v>118</v>
      </c>
      <c r="F26" s="3" t="s">
        <v>113</v>
      </c>
      <c r="G26" s="20" t="n">
        <v>1</v>
      </c>
      <c r="H26" s="21" t="n">
        <v>20</v>
      </c>
      <c r="I26" s="21" t="n">
        <v>8</v>
      </c>
      <c r="J26" s="10" t="n">
        <f aca="false">G26*H26</f>
        <v>20</v>
      </c>
      <c r="K26" s="10" t="n">
        <f aca="false">G26*I26</f>
        <v>8</v>
      </c>
      <c r="L26" s="3" t="s">
        <v>195</v>
      </c>
    </row>
    <row r="27" customFormat="false" ht="15" hidden="false" customHeight="false" outlineLevel="0" collapsed="false">
      <c r="A27" s="3" t="s">
        <v>196</v>
      </c>
      <c r="B27" s="3" t="s">
        <v>197</v>
      </c>
      <c r="C27" s="3" t="s">
        <v>180</v>
      </c>
      <c r="D27" s="3" t="s">
        <v>181</v>
      </c>
      <c r="E27" s="3" t="s">
        <v>118</v>
      </c>
      <c r="F27" s="3" t="s">
        <v>113</v>
      </c>
      <c r="G27" s="20" t="n">
        <v>1</v>
      </c>
      <c r="H27" s="21" t="n">
        <v>15</v>
      </c>
      <c r="I27" s="21" t="n">
        <v>4</v>
      </c>
      <c r="J27" s="10" t="n">
        <f aca="false">G27*H27</f>
        <v>15</v>
      </c>
      <c r="K27" s="10" t="n">
        <f aca="false">G27*I27</f>
        <v>4</v>
      </c>
      <c r="L27" s="3" t="s">
        <v>198</v>
      </c>
    </row>
    <row r="28" customFormat="false" ht="15" hidden="false" customHeight="false" outlineLevel="0" collapsed="false">
      <c r="A28" s="3" t="s">
        <v>199</v>
      </c>
      <c r="B28" s="3" t="s">
        <v>200</v>
      </c>
      <c r="C28" s="3" t="s">
        <v>180</v>
      </c>
      <c r="D28" s="3" t="s">
        <v>181</v>
      </c>
      <c r="E28" s="3" t="s">
        <v>118</v>
      </c>
      <c r="F28" s="3" t="s">
        <v>113</v>
      </c>
      <c r="G28" s="20" t="n">
        <v>1</v>
      </c>
      <c r="H28" s="21" t="n">
        <v>10</v>
      </c>
      <c r="I28" s="21" t="n">
        <v>2</v>
      </c>
      <c r="J28" s="10" t="n">
        <f aca="false">G28*H28</f>
        <v>10</v>
      </c>
      <c r="K28" s="10" t="n">
        <f aca="false">G28*I28</f>
        <v>2</v>
      </c>
      <c r="L28" s="3" t="s">
        <v>201</v>
      </c>
    </row>
    <row r="29" customFormat="false" ht="15" hidden="false" customHeight="false" outlineLevel="0" collapsed="false">
      <c r="A29" s="24"/>
      <c r="B29" s="25" t="s">
        <v>202</v>
      </c>
      <c r="C29" s="24"/>
      <c r="D29" s="24"/>
      <c r="E29" s="24"/>
      <c r="F29" s="24"/>
      <c r="G29" s="24"/>
      <c r="H29" s="24"/>
      <c r="I29" s="24"/>
      <c r="J29" s="26" t="n">
        <f aca="false">SUM(J2:J28)</f>
        <v>378.75</v>
      </c>
      <c r="K29" s="26" t="n">
        <f aca="false">SUM(K2:K28)</f>
        <v>269.6</v>
      </c>
      <c r="L29" s="24"/>
    </row>
    <row r="31" customFormat="false" ht="15" hidden="false" customHeight="false" outlineLevel="0" collapsed="false">
      <c r="A31" s="9" t="s">
        <v>203</v>
      </c>
    </row>
    <row r="32" customFormat="false" ht="15" hidden="false" customHeight="false" outlineLevel="0" collapsed="false">
      <c r="A32" s="9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  <col collapsed="false" customWidth="true" hidden="false" outlineLevel="0" max="5" min="5" style="0" width="52"/>
  </cols>
  <sheetData>
    <row r="1" customFormat="false" ht="23.85" hidden="false" customHeight="false" outlineLevel="0" collapsed="false">
      <c r="A1" s="1" t="s">
        <v>99</v>
      </c>
      <c r="B1" s="1" t="s">
        <v>107</v>
      </c>
      <c r="C1" s="1" t="s">
        <v>205</v>
      </c>
      <c r="D1" s="1" t="s">
        <v>106</v>
      </c>
      <c r="E1" s="1" t="s">
        <v>206</v>
      </c>
    </row>
    <row r="2" customFormat="false" ht="15" hidden="false" customHeight="false" outlineLevel="0" collapsed="false">
      <c r="A2" s="3" t="s">
        <v>111</v>
      </c>
      <c r="B2" s="10" t="n">
        <f aca="false">SUMIF('Activity times'!C2:C28,A2,'Activity times'!K2:K28)</f>
        <v>0</v>
      </c>
      <c r="C2" s="11" t="n">
        <f aca="false">B2/SUM($B$2:$B$6)</f>
        <v>0</v>
      </c>
      <c r="D2" s="14" t="n">
        <f aca="false">SUMIF('Activity times'!C2:C28,A2,'Activity times'!J2:J28)</f>
        <v>90</v>
      </c>
      <c r="E2" s="3" t="s">
        <v>207</v>
      </c>
    </row>
    <row r="3" customFormat="false" ht="28.35" hidden="false" customHeight="false" outlineLevel="0" collapsed="false">
      <c r="A3" s="3" t="s">
        <v>131</v>
      </c>
      <c r="B3" s="10" t="n">
        <f aca="false">SUMIF('Activity times'!C2:C28,A3,'Activity times'!K2:K28)</f>
        <v>106.2</v>
      </c>
      <c r="C3" s="11" t="n">
        <f aca="false">B3/SUM($B$2:$B$6)</f>
        <v>0.393916913946588</v>
      </c>
      <c r="D3" s="14" t="n">
        <f aca="false">SUMIF('Activity times'!C2:C28,A3,'Activity times'!J2:J28)</f>
        <v>100.75</v>
      </c>
      <c r="E3" s="3" t="s">
        <v>208</v>
      </c>
    </row>
    <row r="4" customFormat="false" ht="15" hidden="false" customHeight="false" outlineLevel="0" collapsed="false">
      <c r="A4" s="3" t="s">
        <v>159</v>
      </c>
      <c r="B4" s="10" t="n">
        <f aca="false">SUMIF('Activity times'!C2:C28,A4,'Activity times'!K2:K28)</f>
        <v>26</v>
      </c>
      <c r="C4" s="11" t="n">
        <f aca="false">B4/SUM($B$2:$B$6)</f>
        <v>0.0964391691394659</v>
      </c>
      <c r="D4" s="14" t="n">
        <f aca="false">SUMIF('Activity times'!C2:C28,A4,'Activity times'!J2:J28)</f>
        <v>65</v>
      </c>
      <c r="E4" s="3" t="s">
        <v>209</v>
      </c>
    </row>
    <row r="5" customFormat="false" ht="15" hidden="false" customHeight="false" outlineLevel="0" collapsed="false">
      <c r="A5" s="3" t="s">
        <v>172</v>
      </c>
      <c r="B5" s="10" t="n">
        <f aca="false">SUMIF('Activity times'!C2:C28,A5,'Activity times'!K2:K28)</f>
        <v>7.4</v>
      </c>
      <c r="C5" s="11" t="n">
        <f aca="false">B5/SUM($B$2:$B$6)</f>
        <v>0.0274480712166172</v>
      </c>
      <c r="D5" s="14" t="n">
        <f aca="false">SUMIF('Activity times'!C2:C28,A5,'Activity times'!J2:J28)</f>
        <v>13</v>
      </c>
      <c r="E5" s="3" t="s">
        <v>210</v>
      </c>
    </row>
    <row r="6" customFormat="false" ht="28.35" hidden="false" customHeight="false" outlineLevel="0" collapsed="false">
      <c r="A6" s="3" t="s">
        <v>180</v>
      </c>
      <c r="B6" s="10" t="n">
        <f aca="false">SUMIF('Activity times'!C2:C28,A6,'Activity times'!K2:K28)</f>
        <v>130</v>
      </c>
      <c r="C6" s="11" t="n">
        <f aca="false">B6/SUM($B$2:$B$6)</f>
        <v>0.482195845697329</v>
      </c>
      <c r="D6" s="14" t="n">
        <f aca="false">SUMIF('Activity times'!C2:C28,A6,'Activity times'!J2:J28)</f>
        <v>110</v>
      </c>
      <c r="E6" s="3" t="s">
        <v>211</v>
      </c>
    </row>
    <row r="7" customFormat="false" ht="15" hidden="false" customHeight="false" outlineLevel="0" collapsed="false">
      <c r="A7" s="27" t="s">
        <v>212</v>
      </c>
      <c r="B7" s="10" t="n">
        <f aca="false">SUM(B2:B6)</f>
        <v>269.6</v>
      </c>
      <c r="C7" s="3"/>
      <c r="D7" s="14" t="n">
        <f aca="false">SUM(D2:D6)</f>
        <v>378.75</v>
      </c>
      <c r="E7" s="3"/>
    </row>
    <row r="9" customFormat="false" ht="15" hidden="false" customHeight="false" outlineLevel="0" collapsed="false">
      <c r="A9" s="28" t="s">
        <v>213</v>
      </c>
      <c r="C9" s="29" t="str">
        <f aca="false">INDEX(A2:A6,MATCH(MAX(B2:B6),B2:B6,0))</f>
        <v>Close</v>
      </c>
      <c r="D9" s="30" t="n">
        <f aca="false">MAX(B2:B6)</f>
        <v>130</v>
      </c>
      <c r="E9" s="31" t="str">
        <f aca="false">TEXT(MAX(B2:B6)/SUM(B2:B6),"0%")&amp;" of all waiting"</f>
        <v>48% of all waiting</v>
      </c>
    </row>
    <row r="10" customFormat="false" ht="15" hidden="false" customHeight="false" outlineLevel="0" collapsed="false">
      <c r="A10" s="28" t="s">
        <v>214</v>
      </c>
      <c r="C10" s="32" t="str">
        <f aca="false">INDEX(A2:A6,MATCH(LARGE(B2:B6,2),B2:B6,0))</f>
        <v>Verify</v>
      </c>
      <c r="D10" s="33" t="n">
        <f aca="false">LARGE(B2:B6,2)</f>
        <v>106.2</v>
      </c>
      <c r="E10" s="31" t="str">
        <f aca="false">TEXT(LARGE(B2:B6,2)/SUM(B2:B6),"0%")&amp;" of all waiting"</f>
        <v>39% of all waiting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26"/>
  </cols>
  <sheetData>
    <row r="1" customFormat="false" ht="23.85" hidden="false" customHeight="false" outlineLevel="0" collapsed="false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</row>
    <row r="2" customFormat="false" ht="28.35" hidden="false" customHeight="false" outlineLevel="0" collapsed="false">
      <c r="A2" s="3" t="s">
        <v>215</v>
      </c>
      <c r="B2" s="3" t="s">
        <v>216</v>
      </c>
      <c r="C2" s="3" t="s">
        <v>111</v>
      </c>
      <c r="D2" s="3" t="s">
        <v>112</v>
      </c>
      <c r="E2" s="3" t="s">
        <v>112</v>
      </c>
      <c r="F2" s="3" t="s">
        <v>113</v>
      </c>
      <c r="G2" s="20" t="n">
        <v>1</v>
      </c>
      <c r="H2" s="21" t="n">
        <v>25</v>
      </c>
      <c r="I2" s="21" t="n">
        <v>0</v>
      </c>
      <c r="J2" s="10" t="n">
        <f aca="false">G2*H2</f>
        <v>25</v>
      </c>
      <c r="K2" s="10" t="n">
        <f aca="false">G2*I2</f>
        <v>0</v>
      </c>
      <c r="L2" s="3" t="s">
        <v>217</v>
      </c>
    </row>
    <row r="3" customFormat="false" ht="28.35" hidden="false" customHeight="false" outlineLevel="0" collapsed="false">
      <c r="A3" s="3" t="s">
        <v>218</v>
      </c>
      <c r="B3" s="3" t="s">
        <v>219</v>
      </c>
      <c r="C3" s="3" t="s">
        <v>111</v>
      </c>
      <c r="D3" s="3" t="s">
        <v>220</v>
      </c>
      <c r="E3" s="3" t="s">
        <v>221</v>
      </c>
      <c r="F3" s="3" t="s">
        <v>113</v>
      </c>
      <c r="G3" s="20" t="n">
        <v>1</v>
      </c>
      <c r="H3" s="21" t="n">
        <v>0</v>
      </c>
      <c r="I3" s="21" t="n">
        <v>0</v>
      </c>
      <c r="J3" s="10" t="n">
        <f aca="false">G3*H3</f>
        <v>0</v>
      </c>
      <c r="K3" s="10" t="n">
        <f aca="false">G3*I3</f>
        <v>0</v>
      </c>
      <c r="L3" s="3" t="s">
        <v>222</v>
      </c>
    </row>
    <row r="4" customFormat="false" ht="15" hidden="false" customHeight="false" outlineLevel="0" collapsed="false">
      <c r="A4" s="3" t="s">
        <v>223</v>
      </c>
      <c r="B4" s="3" t="s">
        <v>224</v>
      </c>
      <c r="C4" s="3" t="s">
        <v>111</v>
      </c>
      <c r="D4" s="3" t="s">
        <v>112</v>
      </c>
      <c r="E4" s="3" t="s">
        <v>112</v>
      </c>
      <c r="F4" s="3" t="s">
        <v>137</v>
      </c>
      <c r="G4" s="22" t="n">
        <f aca="false">Inputs!$C$9</f>
        <v>0.1</v>
      </c>
      <c r="H4" s="21" t="n">
        <v>10</v>
      </c>
      <c r="I4" s="21" t="n">
        <v>24</v>
      </c>
      <c r="J4" s="10" t="n">
        <f aca="false">G4*H4</f>
        <v>1</v>
      </c>
      <c r="K4" s="10" t="n">
        <f aca="false">G4*I4</f>
        <v>2.4</v>
      </c>
      <c r="L4" s="3" t="s">
        <v>225</v>
      </c>
    </row>
    <row r="5" customFormat="false" ht="28.35" hidden="false" customHeight="false" outlineLevel="0" collapsed="false">
      <c r="A5" s="3" t="s">
        <v>226</v>
      </c>
      <c r="B5" s="3" t="s">
        <v>227</v>
      </c>
      <c r="C5" s="3" t="s">
        <v>131</v>
      </c>
      <c r="D5" s="3" t="s">
        <v>220</v>
      </c>
      <c r="E5" s="3" t="s">
        <v>221</v>
      </c>
      <c r="F5" s="3" t="s">
        <v>113</v>
      </c>
      <c r="G5" s="20" t="n">
        <v>1</v>
      </c>
      <c r="H5" s="21" t="n">
        <v>0</v>
      </c>
      <c r="I5" s="21" t="n">
        <v>0</v>
      </c>
      <c r="J5" s="10" t="n">
        <f aca="false">G5*H5</f>
        <v>0</v>
      </c>
      <c r="K5" s="10" t="n">
        <f aca="false">G5*I5</f>
        <v>0</v>
      </c>
      <c r="L5" s="3" t="s">
        <v>222</v>
      </c>
    </row>
    <row r="6" customFormat="false" ht="15" hidden="false" customHeight="false" outlineLevel="0" collapsed="false">
      <c r="A6" s="3" t="s">
        <v>228</v>
      </c>
      <c r="B6" s="3" t="s">
        <v>229</v>
      </c>
      <c r="C6" s="3" t="s">
        <v>131</v>
      </c>
      <c r="D6" s="3" t="s">
        <v>132</v>
      </c>
      <c r="E6" s="3" t="s">
        <v>118</v>
      </c>
      <c r="F6" s="3" t="s">
        <v>155</v>
      </c>
      <c r="G6" s="22" t="n">
        <f aca="false">Inputs!$C$10</f>
        <v>0.1</v>
      </c>
      <c r="H6" s="21" t="n">
        <v>30</v>
      </c>
      <c r="I6" s="21" t="n">
        <v>4</v>
      </c>
      <c r="J6" s="10" t="n">
        <f aca="false">G6*H6</f>
        <v>3</v>
      </c>
      <c r="K6" s="10" t="n">
        <f aca="false">G6*I6</f>
        <v>0.4</v>
      </c>
      <c r="L6" s="3" t="s">
        <v>92</v>
      </c>
    </row>
    <row r="7" customFormat="false" ht="28.35" hidden="false" customHeight="false" outlineLevel="0" collapsed="false">
      <c r="A7" s="3" t="s">
        <v>230</v>
      </c>
      <c r="B7" s="3" t="s">
        <v>231</v>
      </c>
      <c r="C7" s="3" t="s">
        <v>131</v>
      </c>
      <c r="D7" s="3" t="s">
        <v>220</v>
      </c>
      <c r="E7" s="3" t="s">
        <v>221</v>
      </c>
      <c r="F7" s="3" t="s">
        <v>113</v>
      </c>
      <c r="G7" s="20" t="n">
        <v>1</v>
      </c>
      <c r="H7" s="21" t="n">
        <v>0</v>
      </c>
      <c r="I7" s="21" t="n">
        <v>0</v>
      </c>
      <c r="J7" s="10" t="n">
        <f aca="false">G7*H7</f>
        <v>0</v>
      </c>
      <c r="K7" s="10" t="n">
        <f aca="false">G7*I7</f>
        <v>0</v>
      </c>
      <c r="L7" s="3" t="s">
        <v>222</v>
      </c>
    </row>
    <row r="8" customFormat="false" ht="15" hidden="false" customHeight="false" outlineLevel="0" collapsed="false">
      <c r="A8" s="3" t="s">
        <v>152</v>
      </c>
      <c r="B8" s="3" t="s">
        <v>232</v>
      </c>
      <c r="C8" s="3" t="s">
        <v>131</v>
      </c>
      <c r="D8" s="3" t="s">
        <v>154</v>
      </c>
      <c r="E8" s="3" t="s">
        <v>118</v>
      </c>
      <c r="F8" s="3" t="s">
        <v>155</v>
      </c>
      <c r="G8" s="22" t="n">
        <f aca="false">Inputs!$C$6</f>
        <v>0.05</v>
      </c>
      <c r="H8" s="21" t="n">
        <v>15</v>
      </c>
      <c r="I8" s="21" t="n">
        <v>8</v>
      </c>
      <c r="J8" s="10" t="n">
        <f aca="false">G8*H8</f>
        <v>0.75</v>
      </c>
      <c r="K8" s="10" t="n">
        <f aca="false">G8*I8</f>
        <v>0.4</v>
      </c>
      <c r="L8" s="3" t="s">
        <v>233</v>
      </c>
    </row>
    <row r="9" customFormat="false" ht="28.35" hidden="false" customHeight="false" outlineLevel="0" collapsed="false">
      <c r="A9" s="3" t="s">
        <v>234</v>
      </c>
      <c r="B9" s="3" t="s">
        <v>235</v>
      </c>
      <c r="C9" s="3" t="s">
        <v>159</v>
      </c>
      <c r="D9" s="3" t="s">
        <v>220</v>
      </c>
      <c r="E9" s="3" t="s">
        <v>221</v>
      </c>
      <c r="F9" s="3" t="s">
        <v>113</v>
      </c>
      <c r="G9" s="20" t="n">
        <v>1</v>
      </c>
      <c r="H9" s="21" t="n">
        <v>0</v>
      </c>
      <c r="I9" s="21" t="n">
        <v>0</v>
      </c>
      <c r="J9" s="10" t="n">
        <f aca="false">G9*H9</f>
        <v>0</v>
      </c>
      <c r="K9" s="10" t="n">
        <f aca="false">G9*I9</f>
        <v>0</v>
      </c>
      <c r="L9" s="3" t="s">
        <v>222</v>
      </c>
    </row>
    <row r="10" customFormat="false" ht="15" hidden="false" customHeight="false" outlineLevel="0" collapsed="false">
      <c r="A10" s="3" t="s">
        <v>160</v>
      </c>
      <c r="B10" s="3" t="s">
        <v>236</v>
      </c>
      <c r="C10" s="3" t="s">
        <v>159</v>
      </c>
      <c r="D10" s="3" t="s">
        <v>162</v>
      </c>
      <c r="E10" s="3" t="s">
        <v>118</v>
      </c>
      <c r="F10" s="3" t="s">
        <v>155</v>
      </c>
      <c r="G10" s="22" t="n">
        <f aca="false">Inputs!$C$11</f>
        <v>0.35</v>
      </c>
      <c r="H10" s="21" t="n">
        <v>20</v>
      </c>
      <c r="I10" s="21" t="n">
        <v>8</v>
      </c>
      <c r="J10" s="10" t="n">
        <f aca="false">G10*H10</f>
        <v>7</v>
      </c>
      <c r="K10" s="10" t="n">
        <f aca="false">G10*I10</f>
        <v>2.8</v>
      </c>
      <c r="L10" s="3" t="s">
        <v>94</v>
      </c>
    </row>
    <row r="11" customFormat="false" ht="15" hidden="false" customHeight="false" outlineLevel="0" collapsed="false">
      <c r="A11" s="3" t="s">
        <v>170</v>
      </c>
      <c r="B11" s="3" t="s">
        <v>237</v>
      </c>
      <c r="C11" s="3" t="s">
        <v>172</v>
      </c>
      <c r="D11" s="3" t="s">
        <v>173</v>
      </c>
      <c r="E11" s="3" t="s">
        <v>118</v>
      </c>
      <c r="F11" s="3" t="s">
        <v>155</v>
      </c>
      <c r="G11" s="22" t="n">
        <f aca="false">Inputs!$C$7</f>
        <v>0.15</v>
      </c>
      <c r="H11" s="21" t="n">
        <v>15</v>
      </c>
      <c r="I11" s="21" t="n">
        <v>8</v>
      </c>
      <c r="J11" s="10" t="n">
        <f aca="false">G11*H11</f>
        <v>2.25</v>
      </c>
      <c r="K11" s="10" t="n">
        <f aca="false">G11*I11</f>
        <v>1.2</v>
      </c>
      <c r="L11" s="3" t="s">
        <v>238</v>
      </c>
    </row>
    <row r="12" customFormat="false" ht="28.35" hidden="false" customHeight="false" outlineLevel="0" collapsed="false">
      <c r="A12" s="3" t="s">
        <v>175</v>
      </c>
      <c r="B12" s="3" t="s">
        <v>239</v>
      </c>
      <c r="C12" s="3" t="s">
        <v>172</v>
      </c>
      <c r="D12" s="3" t="s">
        <v>240</v>
      </c>
      <c r="E12" s="3" t="s">
        <v>221</v>
      </c>
      <c r="F12" s="3" t="s">
        <v>113</v>
      </c>
      <c r="G12" s="20" t="n">
        <v>1</v>
      </c>
      <c r="H12" s="21" t="n">
        <v>2</v>
      </c>
      <c r="I12" s="21" t="n">
        <v>0</v>
      </c>
      <c r="J12" s="10" t="n">
        <f aca="false">G12*H12</f>
        <v>2</v>
      </c>
      <c r="K12" s="10" t="n">
        <f aca="false">G12*I12</f>
        <v>0</v>
      </c>
      <c r="L12" s="3" t="s">
        <v>222</v>
      </c>
    </row>
    <row r="13" customFormat="false" ht="15" hidden="false" customHeight="false" outlineLevel="0" collapsed="false">
      <c r="A13" s="3" t="s">
        <v>241</v>
      </c>
      <c r="B13" s="3" t="s">
        <v>242</v>
      </c>
      <c r="C13" s="3" t="s">
        <v>180</v>
      </c>
      <c r="D13" s="3" t="s">
        <v>220</v>
      </c>
      <c r="E13" s="3" t="s">
        <v>221</v>
      </c>
      <c r="F13" s="3" t="s">
        <v>113</v>
      </c>
      <c r="G13" s="20" t="n">
        <v>1</v>
      </c>
      <c r="H13" s="21" t="n">
        <v>0</v>
      </c>
      <c r="I13" s="21" t="n">
        <v>0</v>
      </c>
      <c r="J13" s="10" t="n">
        <f aca="false">G13*H13</f>
        <v>0</v>
      </c>
      <c r="K13" s="10" t="n">
        <f aca="false">G13*I13</f>
        <v>0</v>
      </c>
      <c r="L13" s="3" t="s">
        <v>222</v>
      </c>
    </row>
    <row r="14" customFormat="false" ht="28.35" hidden="false" customHeight="false" outlineLevel="0" collapsed="false">
      <c r="A14" s="3" t="s">
        <v>243</v>
      </c>
      <c r="B14" s="3" t="s">
        <v>244</v>
      </c>
      <c r="C14" s="3" t="s">
        <v>180</v>
      </c>
      <c r="D14" s="3" t="s">
        <v>112</v>
      </c>
      <c r="E14" s="3" t="s">
        <v>112</v>
      </c>
      <c r="F14" s="3" t="s">
        <v>113</v>
      </c>
      <c r="G14" s="20" t="n">
        <v>1</v>
      </c>
      <c r="H14" s="21" t="n">
        <v>15</v>
      </c>
      <c r="I14" s="21" t="n">
        <v>24</v>
      </c>
      <c r="J14" s="10" t="n">
        <f aca="false">G14*H14</f>
        <v>15</v>
      </c>
      <c r="K14" s="10" t="n">
        <f aca="false">G14*I14</f>
        <v>24</v>
      </c>
      <c r="L14" s="3" t="s">
        <v>217</v>
      </c>
    </row>
    <row r="15" customFormat="false" ht="15" hidden="false" customHeight="false" outlineLevel="0" collapsed="false">
      <c r="A15" s="3" t="s">
        <v>245</v>
      </c>
      <c r="B15" s="3" t="s">
        <v>246</v>
      </c>
      <c r="C15" s="3" t="s">
        <v>180</v>
      </c>
      <c r="D15" s="3" t="s">
        <v>220</v>
      </c>
      <c r="E15" s="3" t="s">
        <v>221</v>
      </c>
      <c r="F15" s="3" t="s">
        <v>113</v>
      </c>
      <c r="G15" s="20" t="n">
        <v>1</v>
      </c>
      <c r="H15" s="21" t="n">
        <v>0</v>
      </c>
      <c r="I15" s="21" t="n">
        <v>4</v>
      </c>
      <c r="J15" s="10" t="n">
        <f aca="false">G15*H15</f>
        <v>0</v>
      </c>
      <c r="K15" s="10" t="n">
        <f aca="false">G15*I15</f>
        <v>4</v>
      </c>
      <c r="L15" s="3" t="s">
        <v>217</v>
      </c>
    </row>
    <row r="16" customFormat="false" ht="28.35" hidden="false" customHeight="false" outlineLevel="0" collapsed="false">
      <c r="A16" s="3" t="s">
        <v>193</v>
      </c>
      <c r="B16" s="3" t="s">
        <v>247</v>
      </c>
      <c r="C16" s="3" t="s">
        <v>180</v>
      </c>
      <c r="D16" s="3" t="s">
        <v>154</v>
      </c>
      <c r="E16" s="3" t="s">
        <v>118</v>
      </c>
      <c r="F16" s="3" t="s">
        <v>113</v>
      </c>
      <c r="G16" s="20" t="n">
        <v>1</v>
      </c>
      <c r="H16" s="21" t="n">
        <v>10</v>
      </c>
      <c r="I16" s="21" t="n">
        <v>4</v>
      </c>
      <c r="J16" s="10" t="n">
        <f aca="false">G16*H16</f>
        <v>10</v>
      </c>
      <c r="K16" s="10" t="n">
        <f aca="false">G16*I16</f>
        <v>4</v>
      </c>
      <c r="L16" s="3" t="s">
        <v>248</v>
      </c>
    </row>
    <row r="17" customFormat="false" ht="28.35" hidden="false" customHeight="false" outlineLevel="0" collapsed="false">
      <c r="A17" s="3" t="s">
        <v>196</v>
      </c>
      <c r="B17" s="3" t="s">
        <v>249</v>
      </c>
      <c r="C17" s="3" t="s">
        <v>180</v>
      </c>
      <c r="D17" s="3" t="s">
        <v>181</v>
      </c>
      <c r="E17" s="3" t="s">
        <v>118</v>
      </c>
      <c r="F17" s="3" t="s">
        <v>113</v>
      </c>
      <c r="G17" s="20" t="n">
        <v>1</v>
      </c>
      <c r="H17" s="21" t="n">
        <v>5</v>
      </c>
      <c r="I17" s="21" t="n">
        <v>2</v>
      </c>
      <c r="J17" s="10" t="n">
        <f aca="false">G17*H17</f>
        <v>5</v>
      </c>
      <c r="K17" s="10" t="n">
        <f aca="false">G17*I17</f>
        <v>2</v>
      </c>
      <c r="L17" s="3" t="s">
        <v>248</v>
      </c>
    </row>
    <row r="18" customFormat="false" ht="28.35" hidden="false" customHeight="false" outlineLevel="0" collapsed="false">
      <c r="A18" s="3" t="s">
        <v>199</v>
      </c>
      <c r="B18" s="3" t="s">
        <v>250</v>
      </c>
      <c r="C18" s="3" t="s">
        <v>180</v>
      </c>
      <c r="D18" s="3" t="s">
        <v>220</v>
      </c>
      <c r="E18" s="3" t="s">
        <v>221</v>
      </c>
      <c r="F18" s="3" t="s">
        <v>113</v>
      </c>
      <c r="G18" s="20" t="n">
        <v>1</v>
      </c>
      <c r="H18" s="21" t="n">
        <v>0</v>
      </c>
      <c r="I18" s="21" t="n">
        <v>0</v>
      </c>
      <c r="J18" s="10" t="n">
        <f aca="false">G18*H18</f>
        <v>0</v>
      </c>
      <c r="K18" s="10" t="n">
        <f aca="false">G18*I18</f>
        <v>0</v>
      </c>
      <c r="L18" s="3" t="s">
        <v>222</v>
      </c>
    </row>
    <row r="19" customFormat="false" ht="15" hidden="false" customHeight="false" outlineLevel="0" collapsed="false">
      <c r="A19" s="24"/>
      <c r="B19" s="25" t="s">
        <v>202</v>
      </c>
      <c r="C19" s="24"/>
      <c r="D19" s="24"/>
      <c r="E19" s="24"/>
      <c r="F19" s="24"/>
      <c r="G19" s="24"/>
      <c r="H19" s="24"/>
      <c r="I19" s="24"/>
      <c r="J19" s="26" t="n">
        <f aca="false">SUM(J2:J18)</f>
        <v>71</v>
      </c>
      <c r="K19" s="26" t="n">
        <f aca="false">SUM(K2:K18)</f>
        <v>41.2</v>
      </c>
      <c r="L19" s="24"/>
    </row>
    <row r="21" customFormat="false" ht="15" hidden="false" customHeight="false" outlineLevel="0" collapsed="false">
      <c r="A21" s="9" t="s">
        <v>251</v>
      </c>
    </row>
    <row r="22" customFormat="false" ht="15" hidden="false" customHeight="false" outlineLevel="0" collapsed="false">
      <c r="A22" s="9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23.85" hidden="false" customHeight="false" outlineLevel="0" collapsed="false">
      <c r="A1" s="1" t="s">
        <v>97</v>
      </c>
      <c r="B1" s="1" t="s">
        <v>98</v>
      </c>
      <c r="C1" s="1" t="s">
        <v>102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</row>
    <row r="2" customFormat="false" ht="28.35" hidden="false" customHeight="false" outlineLevel="0" collapsed="false">
      <c r="A2" s="3" t="s">
        <v>258</v>
      </c>
      <c r="B2" s="3" t="s">
        <v>259</v>
      </c>
      <c r="C2" s="3" t="s">
        <v>113</v>
      </c>
      <c r="D2" s="3" t="s">
        <v>112</v>
      </c>
      <c r="E2" s="3" t="s">
        <v>260</v>
      </c>
      <c r="F2" s="3" t="s">
        <v>261</v>
      </c>
      <c r="G2" s="3" t="s">
        <v>262</v>
      </c>
      <c r="H2" s="3" t="s">
        <v>263</v>
      </c>
      <c r="I2" s="3" t="s">
        <v>264</v>
      </c>
    </row>
    <row r="3" customFormat="false" ht="28.35" hidden="false" customHeight="false" outlineLevel="0" collapsed="false">
      <c r="A3" s="3" t="s">
        <v>265</v>
      </c>
      <c r="B3" s="3" t="s">
        <v>266</v>
      </c>
      <c r="C3" s="3" t="s">
        <v>113</v>
      </c>
      <c r="D3" s="3" t="s">
        <v>260</v>
      </c>
      <c r="E3" s="3" t="s">
        <v>112</v>
      </c>
      <c r="F3" s="3" t="s">
        <v>267</v>
      </c>
      <c r="G3" s="3" t="s">
        <v>268</v>
      </c>
      <c r="H3" s="3" t="s">
        <v>263</v>
      </c>
      <c r="I3" s="3" t="s">
        <v>269</v>
      </c>
    </row>
    <row r="4" customFormat="false" ht="28.35" hidden="false" customHeight="false" outlineLevel="0" collapsed="false">
      <c r="A4" s="3" t="s">
        <v>270</v>
      </c>
      <c r="B4" s="3" t="s">
        <v>271</v>
      </c>
      <c r="C4" s="3" t="s">
        <v>113</v>
      </c>
      <c r="D4" s="3" t="s">
        <v>112</v>
      </c>
      <c r="E4" s="3" t="s">
        <v>260</v>
      </c>
      <c r="F4" s="3" t="s">
        <v>272</v>
      </c>
      <c r="G4" s="3" t="s">
        <v>273</v>
      </c>
      <c r="H4" s="3" t="s">
        <v>263</v>
      </c>
      <c r="I4" s="3" t="s">
        <v>274</v>
      </c>
    </row>
    <row r="5" customFormat="false" ht="15" hidden="false" customHeight="false" outlineLevel="0" collapsed="false">
      <c r="A5" s="3" t="s">
        <v>275</v>
      </c>
      <c r="B5" s="3" t="s">
        <v>276</v>
      </c>
      <c r="C5" s="3" t="s">
        <v>113</v>
      </c>
      <c r="D5" s="3" t="s">
        <v>260</v>
      </c>
      <c r="E5" s="3" t="s">
        <v>154</v>
      </c>
      <c r="F5" s="3" t="s">
        <v>277</v>
      </c>
      <c r="G5" s="3" t="s">
        <v>278</v>
      </c>
      <c r="H5" s="3" t="s">
        <v>263</v>
      </c>
      <c r="I5" s="3" t="s">
        <v>279</v>
      </c>
    </row>
    <row r="6" customFormat="false" ht="15" hidden="false" customHeight="false" outlineLevel="0" collapsed="false">
      <c r="A6" s="3" t="s">
        <v>280</v>
      </c>
      <c r="B6" s="3" t="s">
        <v>281</v>
      </c>
      <c r="C6" s="3" t="s">
        <v>113</v>
      </c>
      <c r="D6" s="3" t="s">
        <v>154</v>
      </c>
      <c r="E6" s="3" t="s">
        <v>181</v>
      </c>
      <c r="F6" s="3" t="s">
        <v>282</v>
      </c>
      <c r="G6" s="3" t="s">
        <v>283</v>
      </c>
      <c r="H6" s="3" t="s">
        <v>263</v>
      </c>
      <c r="I6" s="3" t="s">
        <v>284</v>
      </c>
    </row>
    <row r="7" customFormat="false" ht="15" hidden="false" customHeight="false" outlineLevel="0" collapsed="false">
      <c r="A7" s="3" t="s">
        <v>285</v>
      </c>
      <c r="B7" s="3" t="s">
        <v>199</v>
      </c>
      <c r="C7" s="3" t="s">
        <v>113</v>
      </c>
      <c r="D7" s="3" t="s">
        <v>260</v>
      </c>
      <c r="E7" s="3" t="s">
        <v>112</v>
      </c>
      <c r="F7" s="3" t="s">
        <v>286</v>
      </c>
      <c r="G7" s="3" t="s">
        <v>287</v>
      </c>
      <c r="H7" s="3" t="s">
        <v>263</v>
      </c>
      <c r="I7" s="3" t="s">
        <v>288</v>
      </c>
    </row>
    <row r="8" customFormat="false" ht="28.35" hidden="false" customHeight="false" outlineLevel="0" collapsed="false">
      <c r="A8" s="3" t="s">
        <v>289</v>
      </c>
      <c r="B8" s="3" t="s">
        <v>223</v>
      </c>
      <c r="C8" s="3" t="s">
        <v>137</v>
      </c>
      <c r="D8" s="3" t="s">
        <v>260</v>
      </c>
      <c r="E8" s="3" t="s">
        <v>112</v>
      </c>
      <c r="F8" s="3" t="s">
        <v>290</v>
      </c>
      <c r="G8" s="3" t="s">
        <v>291</v>
      </c>
      <c r="H8" s="3" t="s">
        <v>263</v>
      </c>
      <c r="I8" s="3" t="s">
        <v>292</v>
      </c>
    </row>
    <row r="9" customFormat="false" ht="15" hidden="false" customHeight="false" outlineLevel="0" collapsed="false">
      <c r="A9" s="3" t="s">
        <v>293</v>
      </c>
      <c r="B9" s="3" t="s">
        <v>294</v>
      </c>
      <c r="C9" s="3" t="s">
        <v>137</v>
      </c>
      <c r="D9" s="3" t="s">
        <v>112</v>
      </c>
      <c r="E9" s="3" t="s">
        <v>260</v>
      </c>
      <c r="F9" s="3" t="s">
        <v>295</v>
      </c>
      <c r="G9" s="3" t="s">
        <v>296</v>
      </c>
      <c r="H9" s="3" t="s">
        <v>263</v>
      </c>
      <c r="I9" s="3" t="s">
        <v>297</v>
      </c>
    </row>
    <row r="10" customFormat="false" ht="15" hidden="false" customHeight="false" outlineLevel="0" collapsed="false">
      <c r="A10" s="3" t="s">
        <v>298</v>
      </c>
      <c r="B10" s="3" t="s">
        <v>299</v>
      </c>
      <c r="C10" s="3" t="s">
        <v>155</v>
      </c>
      <c r="D10" s="3" t="s">
        <v>260</v>
      </c>
      <c r="E10" s="3" t="s">
        <v>132</v>
      </c>
      <c r="F10" s="3" t="s">
        <v>300</v>
      </c>
      <c r="G10" s="3" t="s">
        <v>301</v>
      </c>
      <c r="H10" s="3" t="s">
        <v>263</v>
      </c>
      <c r="I10" s="3" t="s">
        <v>302</v>
      </c>
    </row>
    <row r="11" customFormat="false" ht="15" hidden="false" customHeight="false" outlineLevel="0" collapsed="false">
      <c r="A11" s="3" t="s">
        <v>303</v>
      </c>
      <c r="B11" s="3" t="s">
        <v>304</v>
      </c>
      <c r="C11" s="3" t="s">
        <v>155</v>
      </c>
      <c r="D11" s="3" t="s">
        <v>260</v>
      </c>
      <c r="E11" s="3" t="s">
        <v>154</v>
      </c>
      <c r="F11" s="3" t="s">
        <v>305</v>
      </c>
      <c r="G11" s="3" t="s">
        <v>306</v>
      </c>
      <c r="H11" s="3" t="s">
        <v>263</v>
      </c>
      <c r="I11" s="3" t="s">
        <v>307</v>
      </c>
    </row>
    <row r="12" customFormat="false" ht="15" hidden="false" customHeight="false" outlineLevel="0" collapsed="false">
      <c r="A12" s="3" t="s">
        <v>308</v>
      </c>
      <c r="B12" s="3" t="s">
        <v>309</v>
      </c>
      <c r="C12" s="3" t="s">
        <v>155</v>
      </c>
      <c r="D12" s="3" t="s">
        <v>260</v>
      </c>
      <c r="E12" s="3" t="s">
        <v>162</v>
      </c>
      <c r="F12" s="3" t="s">
        <v>310</v>
      </c>
      <c r="G12" s="3" t="s">
        <v>278</v>
      </c>
      <c r="H12" s="3" t="s">
        <v>263</v>
      </c>
      <c r="I12" s="3" t="s">
        <v>311</v>
      </c>
    </row>
    <row r="13" customFormat="false" ht="15" hidden="false" customHeight="false" outlineLevel="0" collapsed="false">
      <c r="A13" s="3" t="s">
        <v>312</v>
      </c>
      <c r="B13" s="3" t="s">
        <v>313</v>
      </c>
      <c r="C13" s="3" t="s">
        <v>155</v>
      </c>
      <c r="D13" s="3" t="s">
        <v>162</v>
      </c>
      <c r="E13" s="3" t="s">
        <v>173</v>
      </c>
      <c r="F13" s="3" t="s">
        <v>314</v>
      </c>
      <c r="G13" s="3" t="s">
        <v>306</v>
      </c>
      <c r="H13" s="3" t="s">
        <v>263</v>
      </c>
      <c r="I13" s="3" t="s">
        <v>315</v>
      </c>
    </row>
    <row r="14" customFormat="false" ht="15" hidden="false" customHeight="false" outlineLevel="0" collapsed="false">
      <c r="A14" s="3" t="s">
        <v>316</v>
      </c>
      <c r="B14" s="3" t="s">
        <v>317</v>
      </c>
      <c r="C14" s="3" t="s">
        <v>155</v>
      </c>
      <c r="D14" s="3" t="s">
        <v>173</v>
      </c>
      <c r="E14" s="3" t="s">
        <v>260</v>
      </c>
      <c r="F14" s="3" t="s">
        <v>318</v>
      </c>
      <c r="G14" s="3" t="s">
        <v>319</v>
      </c>
      <c r="H14" s="3" t="s">
        <v>263</v>
      </c>
      <c r="I14" s="3" t="s">
        <v>320</v>
      </c>
    </row>
    <row r="16" customFormat="false" ht="15" hidden="false" customHeight="false" outlineLevel="0" collapsed="false">
      <c r="A16" s="9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4" width="6"/>
    <col collapsed="false" customWidth="true" hidden="false" outlineLevel="0" max="2" min="2" style="34" width="11"/>
    <col collapsed="false" customWidth="true" hidden="false" outlineLevel="0" max="3" min="3" style="34" width="10"/>
    <col collapsed="false" customWidth="true" hidden="false" outlineLevel="0" max="4" min="4" style="34" width="20"/>
    <col collapsed="false" customWidth="true" hidden="false" outlineLevel="0" max="5" min="5" style="34" width="22"/>
    <col collapsed="false" customWidth="true" hidden="false" outlineLevel="0" max="7" min="6" style="34" width="24"/>
    <col collapsed="false" customWidth="true" hidden="false" outlineLevel="0" max="8" min="8" style="34" width="11"/>
    <col collapsed="false" customWidth="true" hidden="false" outlineLevel="0" max="9" min="9" style="34" width="24"/>
    <col collapsed="false" customWidth="true" hidden="false" outlineLevel="0" max="10" min="10" style="34" width="40"/>
    <col collapsed="false" customWidth="true" hidden="false" outlineLevel="0" max="11" min="11" style="34" width="16"/>
  </cols>
  <sheetData>
    <row r="1" customFormat="false" ht="23.25" hidden="false" customHeight="true" outlineLevel="0" collapsed="false">
      <c r="A1" s="35" t="s">
        <v>97</v>
      </c>
      <c r="B1" s="35" t="s">
        <v>98</v>
      </c>
      <c r="C1" s="35" t="s">
        <v>102</v>
      </c>
      <c r="D1" s="35" t="s">
        <v>322</v>
      </c>
      <c r="E1" s="35" t="s">
        <v>323</v>
      </c>
      <c r="F1" s="35" t="s">
        <v>254</v>
      </c>
      <c r="G1" s="35" t="s">
        <v>255</v>
      </c>
      <c r="H1" s="35" t="s">
        <v>256</v>
      </c>
      <c r="I1" s="35" t="s">
        <v>324</v>
      </c>
      <c r="J1" s="35" t="s">
        <v>325</v>
      </c>
      <c r="K1" s="35" t="s">
        <v>326</v>
      </c>
    </row>
    <row r="2" customFormat="false" ht="34.5" hidden="false" customHeight="true" outlineLevel="0" collapsed="false">
      <c r="A2" s="36" t="s">
        <v>327</v>
      </c>
      <c r="B2" s="36" t="s">
        <v>328</v>
      </c>
      <c r="C2" s="36" t="s">
        <v>113</v>
      </c>
      <c r="D2" s="36" t="s">
        <v>112</v>
      </c>
      <c r="E2" s="36" t="s">
        <v>329</v>
      </c>
      <c r="F2" s="36" t="s">
        <v>330</v>
      </c>
      <c r="G2" s="36" t="s">
        <v>331</v>
      </c>
      <c r="H2" s="37" t="s">
        <v>332</v>
      </c>
      <c r="I2" s="36" t="s">
        <v>333</v>
      </c>
      <c r="J2" s="36" t="s">
        <v>334</v>
      </c>
      <c r="K2" s="36" t="s">
        <v>335</v>
      </c>
    </row>
    <row r="3" customFormat="false" ht="34.5" hidden="false" customHeight="true" outlineLevel="0" collapsed="false">
      <c r="A3" s="36" t="s">
        <v>336</v>
      </c>
      <c r="B3" s="36" t="s">
        <v>337</v>
      </c>
      <c r="C3" s="36" t="s">
        <v>113</v>
      </c>
      <c r="D3" s="36" t="s">
        <v>329</v>
      </c>
      <c r="E3" s="36" t="s">
        <v>338</v>
      </c>
      <c r="F3" s="36" t="s">
        <v>339</v>
      </c>
      <c r="G3" s="36" t="s">
        <v>340</v>
      </c>
      <c r="H3" s="36" t="s">
        <v>263</v>
      </c>
      <c r="I3" s="36" t="s">
        <v>341</v>
      </c>
      <c r="J3" s="36" t="s">
        <v>342</v>
      </c>
      <c r="K3" s="36" t="s">
        <v>343</v>
      </c>
    </row>
    <row r="4" customFormat="false" ht="23.25" hidden="false" customHeight="true" outlineLevel="0" collapsed="false">
      <c r="A4" s="36" t="s">
        <v>344</v>
      </c>
      <c r="B4" s="36" t="s">
        <v>345</v>
      </c>
      <c r="C4" s="36" t="s">
        <v>137</v>
      </c>
      <c r="D4" s="36" t="s">
        <v>338</v>
      </c>
      <c r="E4" s="36" t="s">
        <v>329</v>
      </c>
      <c r="F4" s="36" t="s">
        <v>346</v>
      </c>
      <c r="G4" s="36" t="s">
        <v>347</v>
      </c>
      <c r="H4" s="36" t="s">
        <v>263</v>
      </c>
      <c r="I4" s="36" t="s">
        <v>348</v>
      </c>
      <c r="J4" s="36" t="s">
        <v>349</v>
      </c>
      <c r="K4" s="36" t="s">
        <v>350</v>
      </c>
    </row>
    <row r="5" customFormat="false" ht="34.5" hidden="false" customHeight="true" outlineLevel="0" collapsed="false">
      <c r="A5" s="36" t="s">
        <v>351</v>
      </c>
      <c r="B5" s="36" t="s">
        <v>134</v>
      </c>
      <c r="C5" s="36" t="s">
        <v>137</v>
      </c>
      <c r="D5" s="36" t="s">
        <v>329</v>
      </c>
      <c r="E5" s="36" t="s">
        <v>112</v>
      </c>
      <c r="F5" s="36" t="s">
        <v>352</v>
      </c>
      <c r="G5" s="36" t="s">
        <v>353</v>
      </c>
      <c r="H5" s="36" t="s">
        <v>263</v>
      </c>
      <c r="I5" s="36" t="s">
        <v>354</v>
      </c>
      <c r="J5" s="36" t="s">
        <v>355</v>
      </c>
      <c r="K5" s="36" t="s">
        <v>343</v>
      </c>
    </row>
    <row r="6" customFormat="false" ht="23.25" hidden="false" customHeight="true" outlineLevel="0" collapsed="false">
      <c r="A6" s="36" t="s">
        <v>356</v>
      </c>
      <c r="B6" s="36" t="s">
        <v>134</v>
      </c>
      <c r="C6" s="36" t="s">
        <v>137</v>
      </c>
      <c r="D6" s="36" t="s">
        <v>112</v>
      </c>
      <c r="E6" s="36" t="s">
        <v>329</v>
      </c>
      <c r="F6" s="36" t="s">
        <v>357</v>
      </c>
      <c r="G6" s="36" t="s">
        <v>358</v>
      </c>
      <c r="H6" s="36" t="s">
        <v>263</v>
      </c>
      <c r="I6" s="36" t="s">
        <v>359</v>
      </c>
      <c r="J6" s="36" t="s">
        <v>360</v>
      </c>
      <c r="K6" s="36" t="s">
        <v>343</v>
      </c>
    </row>
    <row r="7" customFormat="false" ht="23.25" hidden="false" customHeight="true" outlineLevel="0" collapsed="false">
      <c r="A7" s="36" t="s">
        <v>361</v>
      </c>
      <c r="B7" s="36" t="s">
        <v>362</v>
      </c>
      <c r="C7" s="36" t="s">
        <v>137</v>
      </c>
      <c r="D7" s="36" t="s">
        <v>329</v>
      </c>
      <c r="E7" s="36" t="s">
        <v>338</v>
      </c>
      <c r="F7" s="36" t="s">
        <v>363</v>
      </c>
      <c r="G7" s="36" t="s">
        <v>364</v>
      </c>
      <c r="H7" s="36" t="s">
        <v>263</v>
      </c>
      <c r="I7" s="36" t="s">
        <v>365</v>
      </c>
      <c r="J7" s="36" t="s">
        <v>366</v>
      </c>
      <c r="K7" s="36" t="s">
        <v>343</v>
      </c>
    </row>
    <row r="8" customFormat="false" ht="23.25" hidden="false" customHeight="true" outlineLevel="0" collapsed="false">
      <c r="A8" s="36" t="s">
        <v>367</v>
      </c>
      <c r="B8" s="36" t="s">
        <v>147</v>
      </c>
      <c r="C8" s="36" t="s">
        <v>113</v>
      </c>
      <c r="D8" s="36" t="s">
        <v>338</v>
      </c>
      <c r="E8" s="36" t="s">
        <v>368</v>
      </c>
      <c r="F8" s="36" t="s">
        <v>369</v>
      </c>
      <c r="G8" s="36" t="s">
        <v>370</v>
      </c>
      <c r="H8" s="36" t="s">
        <v>263</v>
      </c>
      <c r="I8" s="36" t="s">
        <v>371</v>
      </c>
      <c r="J8" s="36" t="s">
        <v>372</v>
      </c>
      <c r="K8" s="36" t="s">
        <v>373</v>
      </c>
    </row>
    <row r="9" customFormat="false" ht="23.25" hidden="false" customHeight="true" outlineLevel="0" collapsed="false">
      <c r="A9" s="36" t="s">
        <v>374</v>
      </c>
      <c r="B9" s="36" t="s">
        <v>150</v>
      </c>
      <c r="C9" s="36" t="s">
        <v>155</v>
      </c>
      <c r="D9" s="36" t="s">
        <v>338</v>
      </c>
      <c r="E9" s="36" t="s">
        <v>375</v>
      </c>
      <c r="F9" s="36" t="s">
        <v>376</v>
      </c>
      <c r="G9" s="36" t="s">
        <v>347</v>
      </c>
      <c r="H9" s="36" t="s">
        <v>263</v>
      </c>
      <c r="I9" s="36" t="s">
        <v>377</v>
      </c>
      <c r="J9" s="36" t="s">
        <v>378</v>
      </c>
      <c r="K9" s="36" t="s">
        <v>379</v>
      </c>
    </row>
    <row r="10" customFormat="false" ht="34.5" hidden="false" customHeight="true" outlineLevel="0" collapsed="false">
      <c r="A10" s="36" t="s">
        <v>380</v>
      </c>
      <c r="B10" s="36" t="s">
        <v>381</v>
      </c>
      <c r="C10" s="36" t="s">
        <v>113</v>
      </c>
      <c r="D10" s="36" t="s">
        <v>338</v>
      </c>
      <c r="E10" s="36" t="s">
        <v>382</v>
      </c>
      <c r="F10" s="36" t="s">
        <v>383</v>
      </c>
      <c r="G10" s="36" t="s">
        <v>278</v>
      </c>
      <c r="H10" s="37" t="s">
        <v>332</v>
      </c>
      <c r="I10" s="36" t="s">
        <v>384</v>
      </c>
      <c r="J10" s="36" t="s">
        <v>385</v>
      </c>
      <c r="K10" s="36" t="s">
        <v>386</v>
      </c>
    </row>
    <row r="11" customFormat="false" ht="23.25" hidden="false" customHeight="true" outlineLevel="0" collapsed="false">
      <c r="A11" s="36" t="s">
        <v>387</v>
      </c>
      <c r="B11" s="36" t="s">
        <v>170</v>
      </c>
      <c r="C11" s="36" t="s">
        <v>155</v>
      </c>
      <c r="D11" s="36" t="s">
        <v>382</v>
      </c>
      <c r="E11" s="36" t="s">
        <v>173</v>
      </c>
      <c r="F11" s="36" t="s">
        <v>388</v>
      </c>
      <c r="G11" s="36" t="s">
        <v>347</v>
      </c>
      <c r="H11" s="37" t="s">
        <v>332</v>
      </c>
      <c r="I11" s="36" t="s">
        <v>389</v>
      </c>
      <c r="J11" s="36" t="s">
        <v>390</v>
      </c>
      <c r="K11" s="36" t="s">
        <v>391</v>
      </c>
    </row>
    <row r="12" customFormat="false" ht="15" hidden="false" customHeight="true" outlineLevel="0" collapsed="false">
      <c r="A12" s="36" t="s">
        <v>392</v>
      </c>
      <c r="B12" s="36" t="s">
        <v>317</v>
      </c>
      <c r="C12" s="36" t="s">
        <v>155</v>
      </c>
      <c r="D12" s="36" t="s">
        <v>173</v>
      </c>
      <c r="E12" s="36" t="s">
        <v>382</v>
      </c>
      <c r="F12" s="36" t="s">
        <v>318</v>
      </c>
      <c r="G12" s="36" t="s">
        <v>347</v>
      </c>
      <c r="H12" s="36" t="s">
        <v>263</v>
      </c>
      <c r="I12" s="36" t="s">
        <v>393</v>
      </c>
      <c r="J12" s="36" t="s">
        <v>394</v>
      </c>
      <c r="K12" s="36" t="s">
        <v>343</v>
      </c>
    </row>
    <row r="13" customFormat="false" ht="23.25" hidden="false" customHeight="true" outlineLevel="0" collapsed="false">
      <c r="A13" s="36" t="s">
        <v>395</v>
      </c>
      <c r="B13" s="36" t="s">
        <v>396</v>
      </c>
      <c r="C13" s="36" t="s">
        <v>113</v>
      </c>
      <c r="D13" s="36" t="s">
        <v>382</v>
      </c>
      <c r="E13" s="36" t="s">
        <v>397</v>
      </c>
      <c r="F13" s="36" t="s">
        <v>398</v>
      </c>
      <c r="G13" s="36" t="s">
        <v>278</v>
      </c>
      <c r="H13" s="37" t="s">
        <v>332</v>
      </c>
      <c r="I13" s="36" t="s">
        <v>399</v>
      </c>
      <c r="J13" s="36" t="s">
        <v>400</v>
      </c>
      <c r="K13" s="36" t="s">
        <v>386</v>
      </c>
    </row>
    <row r="14" customFormat="false" ht="23.25" hidden="false" customHeight="true" outlineLevel="0" collapsed="false">
      <c r="A14" s="36" t="s">
        <v>401</v>
      </c>
      <c r="B14" s="36" t="s">
        <v>402</v>
      </c>
      <c r="C14" s="36" t="s">
        <v>113</v>
      </c>
      <c r="D14" s="36" t="s">
        <v>397</v>
      </c>
      <c r="E14" s="36" t="s">
        <v>112</v>
      </c>
      <c r="F14" s="36" t="s">
        <v>403</v>
      </c>
      <c r="G14" s="36" t="s">
        <v>404</v>
      </c>
      <c r="H14" s="36" t="s">
        <v>263</v>
      </c>
      <c r="I14" s="36" t="s">
        <v>405</v>
      </c>
      <c r="J14" s="36" t="s">
        <v>406</v>
      </c>
      <c r="K14" s="36" t="s">
        <v>407</v>
      </c>
    </row>
    <row r="15" customFormat="false" ht="23.25" hidden="false" customHeight="true" outlineLevel="0" collapsed="false">
      <c r="A15" s="36" t="s">
        <v>408</v>
      </c>
      <c r="B15" s="36" t="s">
        <v>409</v>
      </c>
      <c r="C15" s="36" t="s">
        <v>113</v>
      </c>
      <c r="D15" s="36" t="s">
        <v>112</v>
      </c>
      <c r="E15" s="36" t="s">
        <v>410</v>
      </c>
      <c r="F15" s="36" t="s">
        <v>411</v>
      </c>
      <c r="G15" s="36" t="s">
        <v>412</v>
      </c>
      <c r="H15" s="36" t="s">
        <v>263</v>
      </c>
      <c r="I15" s="36" t="s">
        <v>413</v>
      </c>
      <c r="J15" s="36" t="s">
        <v>414</v>
      </c>
      <c r="K15" s="36" t="s">
        <v>415</v>
      </c>
    </row>
    <row r="16" customFormat="false" ht="23.25" hidden="false" customHeight="true" outlineLevel="0" collapsed="false">
      <c r="A16" s="36" t="s">
        <v>416</v>
      </c>
      <c r="B16" s="36" t="s">
        <v>417</v>
      </c>
      <c r="C16" s="36" t="s">
        <v>113</v>
      </c>
      <c r="D16" s="36" t="s">
        <v>397</v>
      </c>
      <c r="E16" s="36" t="s">
        <v>375</v>
      </c>
      <c r="F16" s="36" t="s">
        <v>418</v>
      </c>
      <c r="G16" s="36" t="s">
        <v>278</v>
      </c>
      <c r="H16" s="36" t="s">
        <v>263</v>
      </c>
      <c r="I16" s="36" t="s">
        <v>419</v>
      </c>
      <c r="J16" s="36" t="s">
        <v>420</v>
      </c>
      <c r="K16" s="36" t="s">
        <v>421</v>
      </c>
    </row>
    <row r="17" customFormat="false" ht="34.5" hidden="false" customHeight="true" outlineLevel="0" collapsed="false">
      <c r="A17" s="36" t="s">
        <v>422</v>
      </c>
      <c r="B17" s="36" t="s">
        <v>281</v>
      </c>
      <c r="C17" s="36" t="s">
        <v>113</v>
      </c>
      <c r="D17" s="36" t="s">
        <v>375</v>
      </c>
      <c r="E17" s="36" t="s">
        <v>397</v>
      </c>
      <c r="F17" s="36" t="s">
        <v>282</v>
      </c>
      <c r="G17" s="36" t="s">
        <v>423</v>
      </c>
      <c r="H17" s="37" t="s">
        <v>332</v>
      </c>
      <c r="I17" s="36" t="s">
        <v>424</v>
      </c>
      <c r="J17" s="36" t="s">
        <v>425</v>
      </c>
      <c r="K17" s="36" t="s">
        <v>426</v>
      </c>
    </row>
    <row r="18" customFormat="false" ht="23.25" hidden="false" customHeight="true" outlineLevel="0" collapsed="false">
      <c r="A18" s="36" t="s">
        <v>427</v>
      </c>
      <c r="B18" s="36" t="s">
        <v>428</v>
      </c>
      <c r="C18" s="36" t="s">
        <v>113</v>
      </c>
      <c r="D18" s="36" t="s">
        <v>397</v>
      </c>
      <c r="E18" s="36" t="s">
        <v>112</v>
      </c>
      <c r="F18" s="36" t="s">
        <v>429</v>
      </c>
      <c r="G18" s="36" t="s">
        <v>430</v>
      </c>
      <c r="H18" s="36" t="s">
        <v>263</v>
      </c>
      <c r="I18" s="36" t="s">
        <v>431</v>
      </c>
      <c r="J18" s="36" t="s">
        <v>432</v>
      </c>
      <c r="K18" s="36" t="s">
        <v>433</v>
      </c>
    </row>
    <row r="20" customFormat="false" ht="15" hidden="false" customHeight="true" outlineLevel="0" collapsed="false">
      <c r="A20" s="38" t="s">
        <v>434</v>
      </c>
    </row>
    <row r="21" customFormat="false" ht="15" hidden="false" customHeight="true" outlineLevel="0" collapsed="false">
      <c r="A21" s="38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4" width="26"/>
    <col collapsed="false" customWidth="true" hidden="false" outlineLevel="0" max="2" min="2" style="34" width="34"/>
    <col collapsed="false" customWidth="true" hidden="false" outlineLevel="0" max="3" min="3" style="34" width="32"/>
    <col collapsed="false" customWidth="true" hidden="false" outlineLevel="0" max="4" min="4" style="34" width="34"/>
    <col collapsed="false" customWidth="true" hidden="false" outlineLevel="0" max="5" min="5" style="34" width="48"/>
    <col collapsed="false" customWidth="true" hidden="false" outlineLevel="0" max="6" min="6" style="34" width="20"/>
  </cols>
  <sheetData>
    <row r="1" customFormat="false" ht="15" hidden="false" customHeight="true" outlineLevel="0" collapsed="false">
      <c r="A1" s="35" t="s">
        <v>221</v>
      </c>
      <c r="B1" s="35" t="s">
        <v>436</v>
      </c>
      <c r="C1" s="35" t="s">
        <v>437</v>
      </c>
      <c r="D1" s="35" t="s">
        <v>438</v>
      </c>
      <c r="E1" s="35" t="s">
        <v>439</v>
      </c>
      <c r="F1" s="35" t="s">
        <v>326</v>
      </c>
    </row>
    <row r="2" customFormat="false" ht="45.75" hidden="false" customHeight="true" outlineLevel="0" collapsed="false">
      <c r="A2" s="36" t="s">
        <v>440</v>
      </c>
      <c r="B2" s="36" t="s">
        <v>441</v>
      </c>
      <c r="C2" s="36" t="s">
        <v>442</v>
      </c>
      <c r="D2" s="36" t="s">
        <v>443</v>
      </c>
      <c r="E2" s="36" t="s">
        <v>444</v>
      </c>
      <c r="F2" s="36" t="s">
        <v>445</v>
      </c>
    </row>
    <row r="3" customFormat="false" ht="34.5" hidden="false" customHeight="true" outlineLevel="0" collapsed="false">
      <c r="A3" s="36" t="s">
        <v>446</v>
      </c>
      <c r="B3" s="36" t="s">
        <v>447</v>
      </c>
      <c r="C3" s="36" t="s">
        <v>448</v>
      </c>
      <c r="D3" s="36" t="s">
        <v>449</v>
      </c>
      <c r="E3" s="36" t="s">
        <v>450</v>
      </c>
      <c r="F3" s="36" t="s">
        <v>350</v>
      </c>
    </row>
    <row r="4" customFormat="false" ht="34.5" hidden="false" customHeight="true" outlineLevel="0" collapsed="false">
      <c r="A4" s="36" t="s">
        <v>451</v>
      </c>
      <c r="B4" s="36" t="s">
        <v>452</v>
      </c>
      <c r="C4" s="36" t="s">
        <v>397</v>
      </c>
      <c r="D4" s="36" t="s">
        <v>453</v>
      </c>
      <c r="E4" s="36" t="s">
        <v>454</v>
      </c>
      <c r="F4" s="36" t="s">
        <v>455</v>
      </c>
    </row>
    <row r="5" customFormat="false" ht="23.25" hidden="false" customHeight="true" outlineLevel="0" collapsed="false">
      <c r="A5" s="36" t="s">
        <v>456</v>
      </c>
      <c r="B5" s="36" t="s">
        <v>457</v>
      </c>
      <c r="C5" s="36" t="s">
        <v>338</v>
      </c>
      <c r="D5" s="36" t="s">
        <v>458</v>
      </c>
      <c r="E5" s="36" t="s">
        <v>459</v>
      </c>
      <c r="F5" s="36" t="s">
        <v>460</v>
      </c>
    </row>
    <row r="6" customFormat="false" ht="34.5" hidden="false" customHeight="true" outlineLevel="0" collapsed="false">
      <c r="A6" s="36" t="s">
        <v>461</v>
      </c>
      <c r="B6" s="36" t="s">
        <v>462</v>
      </c>
      <c r="C6" s="36" t="s">
        <v>463</v>
      </c>
      <c r="D6" s="36" t="s">
        <v>464</v>
      </c>
      <c r="E6" s="36" t="s">
        <v>465</v>
      </c>
      <c r="F6" s="36" t="s">
        <v>335</v>
      </c>
    </row>
    <row r="8" customFormat="false" ht="15" hidden="false" customHeight="true" outlineLevel="0" collapsed="false">
      <c r="A8" s="38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2026-09-25T17:40:29Z</dcterms:created>
  <dc:creator>openpyxl</dc:creator>
  <dc:description/>
  <dc:language>en-US</dc:language>
  <cp:lastModifiedBy/>
  <dcterms:modified xsi:type="dcterms:W3CDTF">2026-09-26T20:56:32Z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